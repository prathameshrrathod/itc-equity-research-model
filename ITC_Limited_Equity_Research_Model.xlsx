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hamesh\Desktop\FM Project\"/>
    </mc:Choice>
  </mc:AlternateContent>
  <xr:revisionPtr revIDLastSave="0" documentId="13_ncr:1_{12F591D9-8611-4094-A1AA-F90E2BB38617}" xr6:coauthVersionLast="47" xr6:coauthVersionMax="47" xr10:uidLastSave="{00000000-0000-0000-0000-000000000000}"/>
  <bookViews>
    <workbookView xWindow="-108" yWindow="-108" windowWidth="23256" windowHeight="12456" tabRatio="732" xr2:uid="{439CD2FE-A861-4F3C-8734-40F3F352497F}"/>
  </bookViews>
  <sheets>
    <sheet name="Historical_Financials" sheetId="1" r:id="rId1"/>
    <sheet name="Segment_Analysis" sheetId="2" r:id="rId2"/>
    <sheet name="Assumptions" sheetId="3" r:id="rId3"/>
    <sheet name="Forecast_Model" sheetId="4" r:id="rId4"/>
    <sheet name="DCF" sheetId="5" r:id="rId5"/>
    <sheet name="DCF (Formatted) " sheetId="6" r:id="rId6"/>
    <sheet name="Relative_Valuation" sheetId="7" r:id="rId7"/>
    <sheet name="Summary" sheetId="8" r:id="rId8"/>
  </sheets>
  <definedNames>
    <definedName name="_xlnm.Print_Area" localSheetId="5">'DCF (Formatted) '!$A$1:$K$55</definedName>
    <definedName name="_xlnm.Print_Area" localSheetId="6">Relative_Valuation!$A$1:$V$40</definedName>
    <definedName name="_xlnm.Print_Area" localSheetId="7">Summary!$A$1:$N$42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7" l="1"/>
  <c r="I22" i="6"/>
  <c r="J22" i="6"/>
  <c r="K22" i="6"/>
  <c r="I23" i="6"/>
  <c r="C52" i="6" s="1"/>
  <c r="J23" i="6"/>
  <c r="K23" i="6"/>
  <c r="J21" i="6"/>
  <c r="K21" i="6"/>
  <c r="C54" i="6" s="1"/>
  <c r="I21" i="6"/>
  <c r="C40" i="6"/>
  <c r="D13" i="1"/>
  <c r="D15" i="1" s="1"/>
  <c r="C25" i="8"/>
  <c r="E37" i="8" s="1"/>
  <c r="K10" i="8"/>
  <c r="K8" i="8"/>
  <c r="J8" i="8"/>
  <c r="I8" i="8"/>
  <c r="D11" i="2"/>
  <c r="I10" i="2" s="1"/>
  <c r="C25" i="7"/>
  <c r="E25" i="7" s="1"/>
  <c r="E21" i="7"/>
  <c r="D25" i="7"/>
  <c r="D24" i="7"/>
  <c r="C36" i="7" s="1"/>
  <c r="D20" i="7"/>
  <c r="D21" i="7"/>
  <c r="D22" i="7"/>
  <c r="D19" i="7"/>
  <c r="C24" i="7"/>
  <c r="E24" i="7" s="1"/>
  <c r="C20" i="7"/>
  <c r="E20" i="7" s="1"/>
  <c r="C21" i="7"/>
  <c r="C22" i="7"/>
  <c r="E22" i="7" s="1"/>
  <c r="C19" i="7"/>
  <c r="E19" i="7" s="1"/>
  <c r="J5" i="7"/>
  <c r="D17" i="7" s="1"/>
  <c r="K12" i="8" s="1"/>
  <c r="I5" i="7"/>
  <c r="H5" i="7"/>
  <c r="G5" i="7"/>
  <c r="F5" i="7"/>
  <c r="C17" i="7" s="1"/>
  <c r="C5" i="7"/>
  <c r="D22" i="4"/>
  <c r="E22" i="4" s="1"/>
  <c r="F22" i="4" s="1"/>
  <c r="G22" i="4" s="1"/>
  <c r="H22" i="4" s="1"/>
  <c r="C34" i="6"/>
  <c r="C39" i="6" s="1"/>
  <c r="C29" i="7" l="1"/>
  <c r="O19" i="7" s="1"/>
  <c r="C24" i="8" s="1"/>
  <c r="E17" i="7"/>
  <c r="K13" i="8" s="1"/>
  <c r="C37" i="7"/>
  <c r="C32" i="7"/>
  <c r="C31" i="7"/>
  <c r="C38" i="7"/>
  <c r="C30" i="7"/>
  <c r="C35" i="7"/>
  <c r="O18" i="7" s="1"/>
  <c r="C23" i="8" s="1"/>
  <c r="C12" i="5"/>
  <c r="C11" i="5"/>
  <c r="C10" i="5"/>
  <c r="C9" i="5"/>
  <c r="C7" i="5"/>
  <c r="C6" i="5"/>
  <c r="C5" i="5"/>
  <c r="F46" i="5"/>
  <c r="F44" i="5"/>
  <c r="C15" i="3"/>
  <c r="C25" i="3"/>
  <c r="C30" i="3" s="1"/>
  <c r="C12" i="6" s="1"/>
  <c r="K4" i="1"/>
  <c r="K5" i="1"/>
  <c r="K6" i="1"/>
  <c r="K7" i="1"/>
  <c r="K8" i="1"/>
  <c r="C35" i="4" s="1"/>
  <c r="C34" i="4"/>
  <c r="C32" i="4"/>
  <c r="C33" i="4" s="1"/>
  <c r="C31" i="4"/>
  <c r="M4" i="4"/>
  <c r="C9" i="4" s="1"/>
  <c r="C19" i="4" s="1"/>
  <c r="L5" i="1"/>
  <c r="L6" i="1"/>
  <c r="L7" i="1"/>
  <c r="L8" i="1"/>
  <c r="C36" i="4" s="1"/>
  <c r="L4" i="1"/>
  <c r="F11" i="2"/>
  <c r="E11" i="2"/>
  <c r="H8" i="2"/>
  <c r="I8" i="2"/>
  <c r="G8" i="2"/>
  <c r="C11" i="2"/>
  <c r="D14" i="2" s="1"/>
  <c r="D16" i="2" s="1"/>
  <c r="H5" i="1"/>
  <c r="H6" i="1"/>
  <c r="I10" i="8" s="1"/>
  <c r="H7" i="1"/>
  <c r="J10" i="8" s="1"/>
  <c r="H4" i="1"/>
  <c r="D12" i="6" l="1"/>
  <c r="M7" i="1"/>
  <c r="E12" i="6"/>
  <c r="M6" i="1"/>
  <c r="F12" i="6"/>
  <c r="M5" i="1"/>
  <c r="N5" i="1" s="1"/>
  <c r="G12" i="6"/>
  <c r="M4" i="1"/>
  <c r="N4" i="1" s="1"/>
  <c r="C8" i="5"/>
  <c r="C13" i="5" s="1"/>
  <c r="M8" i="1"/>
  <c r="C8" i="4"/>
  <c r="D8" i="4" s="1"/>
  <c r="D18" i="4" s="1"/>
  <c r="C7" i="4"/>
  <c r="D7" i="4" s="1"/>
  <c r="D17" i="4" s="1"/>
  <c r="C10" i="4"/>
  <c r="C11" i="4"/>
  <c r="D11" i="4" s="1"/>
  <c r="E11" i="4" s="1"/>
  <c r="D9" i="4"/>
  <c r="I4" i="2"/>
  <c r="H5" i="2"/>
  <c r="H6" i="2"/>
  <c r="H7" i="2"/>
  <c r="H4" i="2"/>
  <c r="G5" i="2"/>
  <c r="G6" i="2"/>
  <c r="G7" i="2"/>
  <c r="G4" i="2"/>
  <c r="P5" i="1"/>
  <c r="P6" i="1"/>
  <c r="I9" i="8" s="1"/>
  <c r="P7" i="1"/>
  <c r="J9" i="8" s="1"/>
  <c r="P8" i="1"/>
  <c r="K9" i="8" s="1"/>
  <c r="P4" i="1"/>
  <c r="F5" i="1"/>
  <c r="O5" i="1" s="1"/>
  <c r="F6" i="1"/>
  <c r="O6" i="1" s="1"/>
  <c r="F7" i="1"/>
  <c r="O7" i="1" s="1"/>
  <c r="F8" i="1"/>
  <c r="O8" i="1" s="1"/>
  <c r="F4" i="1"/>
  <c r="O4" i="1" s="1"/>
  <c r="N8" i="1" l="1"/>
  <c r="K11" i="8"/>
  <c r="N7" i="1"/>
  <c r="J11" i="8"/>
  <c r="N6" i="1"/>
  <c r="I11" i="8"/>
  <c r="D18" i="5"/>
  <c r="D22" i="5"/>
  <c r="C31" i="5" s="1"/>
  <c r="C29" i="5"/>
  <c r="D21" i="5"/>
  <c r="D20" i="5"/>
  <c r="D19" i="5"/>
  <c r="E8" i="4"/>
  <c r="E18" i="4" s="1"/>
  <c r="C18" i="4"/>
  <c r="C21" i="4"/>
  <c r="D21" i="4"/>
  <c r="C20" i="4"/>
  <c r="D10" i="4"/>
  <c r="C17" i="4"/>
  <c r="C12" i="4"/>
  <c r="E7" i="4"/>
  <c r="E17" i="4" s="1"/>
  <c r="E21" i="4"/>
  <c r="F11" i="4"/>
  <c r="E9" i="4"/>
  <c r="D19" i="4"/>
  <c r="I7" i="2"/>
  <c r="I6" i="2"/>
  <c r="I5" i="2"/>
  <c r="I11" i="2" s="1"/>
  <c r="C23" i="4" l="1"/>
  <c r="C25" i="4" s="1"/>
  <c r="F8" i="4"/>
  <c r="G8" i="4" s="1"/>
  <c r="D20" i="4"/>
  <c r="E10" i="4"/>
  <c r="E12" i="4" s="1"/>
  <c r="F7" i="4"/>
  <c r="F17" i="4" s="1"/>
  <c r="D12" i="4"/>
  <c r="F21" i="4"/>
  <c r="G11" i="4"/>
  <c r="F9" i="4"/>
  <c r="E19" i="4"/>
  <c r="D23" i="4" l="1"/>
  <c r="D32" i="4" s="1"/>
  <c r="D31" i="4"/>
  <c r="C5" i="6"/>
  <c r="E31" i="4"/>
  <c r="D5" i="6"/>
  <c r="F18" i="4"/>
  <c r="G7" i="4"/>
  <c r="H7" i="4" s="1"/>
  <c r="E20" i="4"/>
  <c r="E23" i="4" s="1"/>
  <c r="F10" i="4"/>
  <c r="C37" i="4"/>
  <c r="G21" i="4"/>
  <c r="H11" i="4"/>
  <c r="H21" i="4" s="1"/>
  <c r="H8" i="4"/>
  <c r="H18" i="4" s="1"/>
  <c r="G18" i="4"/>
  <c r="F19" i="4"/>
  <c r="G9" i="4"/>
  <c r="E34" i="4" l="1"/>
  <c r="D8" i="6" s="1"/>
  <c r="M8" i="8"/>
  <c r="D33" i="4"/>
  <c r="L13" i="8"/>
  <c r="D34" i="4"/>
  <c r="C8" i="6" s="1"/>
  <c r="L8" i="8"/>
  <c r="D25" i="4"/>
  <c r="L9" i="8" s="1"/>
  <c r="D35" i="4"/>
  <c r="C9" i="6" s="1"/>
  <c r="C6" i="6"/>
  <c r="E36" i="4"/>
  <c r="D10" i="6" s="1"/>
  <c r="D36" i="4"/>
  <c r="C10" i="6" s="1"/>
  <c r="E35" i="4"/>
  <c r="D9" i="6" s="1"/>
  <c r="E32" i="4"/>
  <c r="D6" i="6"/>
  <c r="E25" i="4"/>
  <c r="M9" i="8" s="1"/>
  <c r="G17" i="4"/>
  <c r="F20" i="4"/>
  <c r="G10" i="4"/>
  <c r="F12" i="4"/>
  <c r="G19" i="4"/>
  <c r="H9" i="4"/>
  <c r="H19" i="4" s="1"/>
  <c r="H17" i="4"/>
  <c r="E33" i="4" l="1"/>
  <c r="E37" i="4" s="1"/>
  <c r="M13" i="8"/>
  <c r="C7" i="6"/>
  <c r="C11" i="6" s="1"/>
  <c r="C13" i="6" s="1"/>
  <c r="L12" i="8"/>
  <c r="L10" i="8"/>
  <c r="F23" i="4"/>
  <c r="E6" i="6" s="1"/>
  <c r="D37" i="4"/>
  <c r="F31" i="4"/>
  <c r="E5" i="6"/>
  <c r="H10" i="4"/>
  <c r="H20" i="4" s="1"/>
  <c r="H23" i="4" s="1"/>
  <c r="G20" i="4"/>
  <c r="G12" i="4"/>
  <c r="C19" i="5" l="1"/>
  <c r="E19" i="5" s="1"/>
  <c r="M11" i="8"/>
  <c r="D7" i="6"/>
  <c r="D11" i="6" s="1"/>
  <c r="D13" i="6" s="1"/>
  <c r="F34" i="4"/>
  <c r="E8" i="6" s="1"/>
  <c r="N8" i="8"/>
  <c r="M12" i="8"/>
  <c r="M10" i="8"/>
  <c r="C18" i="5"/>
  <c r="E18" i="5" s="1"/>
  <c r="L11" i="8"/>
  <c r="F25" i="4"/>
  <c r="N9" i="8" s="1"/>
  <c r="F32" i="4"/>
  <c r="G23" i="4"/>
  <c r="F6" i="6" s="1"/>
  <c r="F36" i="4"/>
  <c r="E10" i="6" s="1"/>
  <c r="G6" i="6"/>
  <c r="F35" i="4"/>
  <c r="E9" i="6" s="1"/>
  <c r="G31" i="4"/>
  <c r="G34" i="4" s="1"/>
  <c r="F8" i="6" s="1"/>
  <c r="F5" i="6"/>
  <c r="H32" i="4"/>
  <c r="H33" i="4" s="1"/>
  <c r="G7" i="6" s="1"/>
  <c r="H12" i="4"/>
  <c r="F33" i="4" l="1"/>
  <c r="N13" i="8"/>
  <c r="G25" i="4"/>
  <c r="G32" i="4"/>
  <c r="G33" i="4" s="1"/>
  <c r="F7" i="6" s="1"/>
  <c r="G35" i="4"/>
  <c r="F9" i="6" s="1"/>
  <c r="G36" i="4"/>
  <c r="F10" i="6" s="1"/>
  <c r="H31" i="4"/>
  <c r="H34" i="4" s="1"/>
  <c r="G8" i="6" s="1"/>
  <c r="G5" i="6"/>
  <c r="H25" i="4"/>
  <c r="F37" i="4" l="1"/>
  <c r="C20" i="5" s="1"/>
  <c r="E20" i="5" s="1"/>
  <c r="N12" i="8"/>
  <c r="E7" i="6"/>
  <c r="E11" i="6" s="1"/>
  <c r="E13" i="6" s="1"/>
  <c r="N10" i="8"/>
  <c r="F11" i="6"/>
  <c r="F13" i="6" s="1"/>
  <c r="H36" i="4"/>
  <c r="G10" i="6" s="1"/>
  <c r="H35" i="4"/>
  <c r="G9" i="6" s="1"/>
  <c r="G37" i="4"/>
  <c r="C21" i="5" s="1"/>
  <c r="E21" i="5" s="1"/>
  <c r="N11" i="8" l="1"/>
  <c r="G11" i="6"/>
  <c r="C18" i="6" s="1"/>
  <c r="C19" i="6" s="1"/>
  <c r="H37" i="4"/>
  <c r="C27" i="5" s="1"/>
  <c r="C30" i="5" s="1"/>
  <c r="C32" i="5" s="1"/>
  <c r="G13" i="6" l="1"/>
  <c r="C20" i="6" s="1"/>
  <c r="C26" i="6" s="1"/>
  <c r="C28" i="6" s="1"/>
  <c r="H20" i="6" s="1"/>
  <c r="C22" i="5"/>
  <c r="E22" i="5" s="1"/>
  <c r="C34" i="5" s="1"/>
  <c r="C38" i="5" s="1"/>
  <c r="C44" i="5" s="1"/>
  <c r="C50" i="5" s="1"/>
  <c r="C17" i="6" l="1"/>
  <c r="J31" i="6"/>
  <c r="J33" i="6" s="1"/>
  <c r="D22" i="8" s="1"/>
  <c r="G37" i="8" s="1"/>
  <c r="J23" i="8"/>
  <c r="C37" i="8" s="1"/>
  <c r="C48" i="5"/>
  <c r="G31" i="5"/>
  <c r="F45" i="5" s="1"/>
  <c r="C52" i="5"/>
  <c r="C53" i="6" l="1"/>
  <c r="C22" i="8"/>
</calcChain>
</file>

<file path=xl/sharedStrings.xml><?xml version="1.0" encoding="utf-8"?>
<sst xmlns="http://schemas.openxmlformats.org/spreadsheetml/2006/main" count="475" uniqueCount="341">
  <si>
    <t>Year</t>
  </si>
  <si>
    <t>Revenue</t>
  </si>
  <si>
    <t>EBITDA</t>
  </si>
  <si>
    <t>EBIT</t>
  </si>
  <si>
    <t>PAT</t>
  </si>
  <si>
    <t>CFO</t>
  </si>
  <si>
    <t>Depreciation</t>
  </si>
  <si>
    <t>FCFF</t>
  </si>
  <si>
    <t>EBIT Margin</t>
  </si>
  <si>
    <t>EBITDA Margin</t>
  </si>
  <si>
    <t>Segment</t>
  </si>
  <si>
    <t>Revenue 2025</t>
  </si>
  <si>
    <t>EBIT 2025</t>
  </si>
  <si>
    <t>Revenue 2024</t>
  </si>
  <si>
    <t>EBIT 2024</t>
  </si>
  <si>
    <t>Cigarettes</t>
  </si>
  <si>
    <t>Agri</t>
  </si>
  <si>
    <t>Paperboards</t>
  </si>
  <si>
    <t>Margin 2025</t>
  </si>
  <si>
    <t>Revenue Growth</t>
  </si>
  <si>
    <t>Profit Contribution (%)</t>
  </si>
  <si>
    <t>Total</t>
  </si>
  <si>
    <t>1. Profit Dependency</t>
  </si>
  <si>
    <t>3. Margin Structure</t>
  </si>
  <si>
    <t>4. Strategic Shift</t>
  </si>
  <si>
    <t>ITC is gradually shifting towards FMCG for growth, which may lead to margin compression over time.</t>
  </si>
  <si>
    <t>Cigarettes have extremely high margins (~60%), while other segments operate in the 7 to 11% range.</t>
  </si>
  <si>
    <t>1. Revenue Growth Assumptions</t>
  </si>
  <si>
    <t>Growth % (Base Case)</t>
  </si>
  <si>
    <t>FMCG</t>
  </si>
  <si>
    <t>2. Margin Assumptions</t>
  </si>
  <si>
    <t>Item</t>
  </si>
  <si>
    <t>Value</t>
  </si>
  <si>
    <t>Tax Rate</t>
  </si>
  <si>
    <t>Capex (% of Revenue)</t>
  </si>
  <si>
    <t>Working Capital (% of Revenue)</t>
  </si>
  <si>
    <t>FMCG Margin</t>
  </si>
  <si>
    <t xml:space="preserve"> Notes:</t>
  </si>
  <si>
    <t>3. Capex assumed at 3% based on historical average (conservative)</t>
  </si>
  <si>
    <t>4. Tax rate normalized at 25%</t>
  </si>
  <si>
    <t>1. Revenue growth based on segment level analysis</t>
  </si>
  <si>
    <t>Notes:</t>
  </si>
  <si>
    <t>Adjusted PAT (Normalized)</t>
  </si>
  <si>
    <t>5. Risk Concentration</t>
  </si>
  <si>
    <t>Heavy reliance on cigarettes exposes ITC to regulatory and taxation risks.</t>
  </si>
  <si>
    <t>Others</t>
  </si>
  <si>
    <t>CapEx (Reported / Proxy)</t>
  </si>
  <si>
    <t>Change in Working Capital (Estd)</t>
  </si>
  <si>
    <t>(₹ Cr)</t>
  </si>
  <si>
    <t>Total EBIT</t>
  </si>
  <si>
    <t>Total Revenue</t>
  </si>
  <si>
    <t>NOPAT</t>
  </si>
  <si>
    <t>Segment Revenue Forecast</t>
  </si>
  <si>
    <t>Segment EBIT Forecast</t>
  </si>
  <si>
    <t>FCFF Forecast</t>
  </si>
  <si>
    <t>(-) CapEx</t>
  </si>
  <si>
    <t>(+) Depreciation</t>
  </si>
  <si>
    <t>(-) Change in WC</t>
  </si>
  <si>
    <t>1. Revenue forecast based on segment-level growth assumptions</t>
  </si>
  <si>
    <t>2. EBIT derived using segment-level margin assumptions</t>
  </si>
  <si>
    <t>6. FCFF calculated as NOPAT + Depreciation – CapEx – Change in WC</t>
  </si>
  <si>
    <t>Scaling Factor (Gross → Net)</t>
  </si>
  <si>
    <t>CapEx (Estd)</t>
  </si>
  <si>
    <t>4. CapEx normalized at 3% of revenue for forecast; base year adjusted for consistency</t>
  </si>
  <si>
    <t>Forecast</t>
  </si>
  <si>
    <t>Type</t>
  </si>
  <si>
    <t>Base Year</t>
  </si>
  <si>
    <t>Cost of Capital</t>
  </si>
  <si>
    <t>Risk-Free Rate</t>
  </si>
  <si>
    <t>Equity Risk Premium</t>
  </si>
  <si>
    <t>Beta</t>
  </si>
  <si>
    <t>Cost of Equity</t>
  </si>
  <si>
    <t>Cost of Debt</t>
  </si>
  <si>
    <t>Debt %</t>
  </si>
  <si>
    <t>Equity %</t>
  </si>
  <si>
    <t>WACC</t>
  </si>
  <si>
    <t>Discount Factor</t>
  </si>
  <si>
    <t xml:space="preserve">Year </t>
  </si>
  <si>
    <t>Pv of FCFF</t>
  </si>
  <si>
    <t>FCFF (2030)</t>
  </si>
  <si>
    <t>Terminal Growth (g)</t>
  </si>
  <si>
    <t>Terminal Value (2030)</t>
  </si>
  <si>
    <t>Discount Factor (2030)</t>
  </si>
  <si>
    <t>PV of Terminal Value</t>
  </si>
  <si>
    <t>Enterprise Value</t>
  </si>
  <si>
    <t>Equity Bridge</t>
  </si>
  <si>
    <t>(-) Debt</t>
  </si>
  <si>
    <t>(+) Cash</t>
  </si>
  <si>
    <t>(-) Minority Interest</t>
  </si>
  <si>
    <t>Equity Value</t>
  </si>
  <si>
    <t>Shares Outstanding</t>
  </si>
  <si>
    <t>Intrinsic Value Per Share</t>
  </si>
  <si>
    <t>Current Market Price (CMP)</t>
  </si>
  <si>
    <t>Upside / Downside</t>
  </si>
  <si>
    <t>Sensitivity Analysis (₹ per share)</t>
  </si>
  <si>
    <t xml:space="preserve">WACC ↓ </t>
  </si>
  <si>
    <t>Terminal Growth  →</t>
  </si>
  <si>
    <t>Discounted FCFF Table</t>
  </si>
  <si>
    <t>Base Case</t>
  </si>
  <si>
    <t>Terminal Value Calculation</t>
  </si>
  <si>
    <t>1. Valuation based on Free Cash Flow to Firm (FCFF) methodology.</t>
  </si>
  <si>
    <t>3. WACC used as discount rate, assuming 90% equity and 10% debt structure.</t>
  </si>
  <si>
    <t>4. Terminal value calculated using Gordon Growth Model with a long-term growth rate of 4%.</t>
  </si>
  <si>
    <t>(+) Current Investments</t>
  </si>
  <si>
    <t>Bear Case</t>
  </si>
  <si>
    <t>Bull Case</t>
  </si>
  <si>
    <t>Terminal Growth</t>
  </si>
  <si>
    <t>Valuation Conclusion:</t>
  </si>
  <si>
    <t>Bear Case Assumptions:</t>
  </si>
  <si>
    <t>Bull Case Assumptions:</t>
  </si>
  <si>
    <t>Cigarette growth improves to ~7–8% driven by stable taxation</t>
  </si>
  <si>
    <t>FMCG margins expand to ~13% with scale benefits</t>
  </si>
  <si>
    <t>Terminal growth increases to ~4.5–5%</t>
  </si>
  <si>
    <t>Slightly lower perceived risk (stable WACC)</t>
  </si>
  <si>
    <t>Items</t>
  </si>
  <si>
    <t xml:space="preserve">FY2025 </t>
  </si>
  <si>
    <t>Source/Note</t>
  </si>
  <si>
    <t xml:space="preserve">Reported PAT </t>
  </si>
  <si>
    <t>As per Annual Report / Income Statement</t>
  </si>
  <si>
    <t>(-) One-time Demerger Gain</t>
  </si>
  <si>
    <t>Exceptional item (Hotel demerger gain)</t>
  </si>
  <si>
    <t>Base used for Valuation</t>
  </si>
  <si>
    <t>2. Growth Driver Strategy</t>
  </si>
  <si>
    <t>PAT Reconciliation Table</t>
  </si>
  <si>
    <t>Total Segment Revenue (Gross):</t>
  </si>
  <si>
    <t>(-) Inter-segment / Excise Adjustments:</t>
  </si>
  <si>
    <t>Consolidated Net Revenue:</t>
  </si>
  <si>
    <t>Working Note:</t>
  </si>
  <si>
    <t xml:space="preserve">FMCG </t>
  </si>
  <si>
    <t>4. Other Assumptions</t>
  </si>
  <si>
    <t>5. FMCG Margin Trend</t>
  </si>
  <si>
    <t>Risk Free Rate</t>
  </si>
  <si>
    <t>Cost of Equity (Ke)</t>
  </si>
  <si>
    <t>Cost of Debt (Pre-tax) (Kd)</t>
  </si>
  <si>
    <t>Source</t>
  </si>
  <si>
    <t>10Y G-Sec</t>
  </si>
  <si>
    <t>Market Avg</t>
  </si>
  <si>
    <t>Industry Avg</t>
  </si>
  <si>
    <t>CapEx %</t>
  </si>
  <si>
    <t>Historical Avg</t>
  </si>
  <si>
    <t>Working Capital %</t>
  </si>
  <si>
    <t>Source -</t>
  </si>
  <si>
    <t>Depreciation (% of Revenue)</t>
  </si>
  <si>
    <t>Valuation Scenarios</t>
  </si>
  <si>
    <t>Per Share</t>
  </si>
  <si>
    <t>WACC ↑ (~12%)</t>
  </si>
  <si>
    <t>Terminal growth ↓ (~3–4%)</t>
  </si>
  <si>
    <t>FMCG growth slower</t>
  </si>
  <si>
    <t>2. Cost of Equity calculated using CAPM: Risk-Free Rate + Beta × Equity Risk Premium.</t>
  </si>
  <si>
    <t>PV of FCFF</t>
  </si>
  <si>
    <t xml:space="preserve"> FCFF</t>
  </si>
  <si>
    <t>Sum of Pv of FCFF</t>
  </si>
  <si>
    <t>(-) Total Debt</t>
  </si>
  <si>
    <t>(+) Cash &amp; Cash Equivalents</t>
  </si>
  <si>
    <t>(+) Non-Current Inv. (50% Haircut)</t>
  </si>
  <si>
    <t>Implied Share Price</t>
  </si>
  <si>
    <t>Terminal Growth Rate →</t>
  </si>
  <si>
    <t>I. UNLEVERED FREE CASH FLOW PROJECTION (₹ Cr)</t>
  </si>
  <si>
    <t>II. VALUATION SUMMARY &amp; EQUITY BRIDGE</t>
  </si>
  <si>
    <t>CFO/FCFF</t>
  </si>
  <si>
    <t>6. Valuation Disconnect Insight</t>
  </si>
  <si>
    <t>6. Case Assumptions</t>
  </si>
  <si>
    <t>3. Cost of Capital Assumptions</t>
  </si>
  <si>
    <t>Unallocated Corporate &amp; Other Income</t>
  </si>
  <si>
    <r>
      <t>Result:</t>
    </r>
    <r>
      <rPr>
        <sz val="11"/>
        <color theme="1"/>
        <rFont val="Calibri"/>
        <family val="2"/>
        <scheme val="minor"/>
      </rPr>
      <t xml:space="preserve"> Intrinsic value increases to ~₹351</t>
    </r>
  </si>
  <si>
    <t>Intrinsic Value</t>
  </si>
  <si>
    <t>CMP</t>
  </si>
  <si>
    <t>Upside/ Downside</t>
  </si>
  <si>
    <t>Conclusion:</t>
  </si>
  <si>
    <t>Stock appears overvalued under current assumptions</t>
  </si>
  <si>
    <t>TV % of EV = 209,468 / 290,113 ≈ 72%</t>
  </si>
  <si>
    <t>~72% of valuation driven by terminal value →</t>
  </si>
  <si>
    <t>high sensitivity to long-term assumptions</t>
  </si>
  <si>
    <t>Bear</t>
  </si>
  <si>
    <t>Base</t>
  </si>
  <si>
    <t>Bull</t>
  </si>
  <si>
    <t>Company</t>
  </si>
  <si>
    <t>Market Cap</t>
  </si>
  <si>
    <t>Shares</t>
  </si>
  <si>
    <t>Debt</t>
  </si>
  <si>
    <t>Cash</t>
  </si>
  <si>
    <t xml:space="preserve">Revenue </t>
  </si>
  <si>
    <t>ITC Ltd</t>
  </si>
  <si>
    <t>FMCG:</t>
  </si>
  <si>
    <t>HUL</t>
  </si>
  <si>
    <t>Tata Consumer</t>
  </si>
  <si>
    <t>Britannia</t>
  </si>
  <si>
    <t>Nestle India</t>
  </si>
  <si>
    <t>Tobacco:</t>
  </si>
  <si>
    <t>Godfrey Phillips</t>
  </si>
  <si>
    <t>VST Indsutries</t>
  </si>
  <si>
    <t>-</t>
  </si>
  <si>
    <t>(All values in ₹ Cr unless stated otherwise)</t>
  </si>
  <si>
    <t>Relative Valuation Summery</t>
  </si>
  <si>
    <t>EV</t>
  </si>
  <si>
    <t>P/E</t>
  </si>
  <si>
    <t>EV/EBIT</t>
  </si>
  <si>
    <t>Benchmark Statistics</t>
  </si>
  <si>
    <t>FMCG Benchmarks:</t>
  </si>
  <si>
    <t>Avg P/E</t>
  </si>
  <si>
    <t>Median P/E</t>
  </si>
  <si>
    <t>Avg EV/EBIT</t>
  </si>
  <si>
    <t>Median EV/EBIT</t>
  </si>
  <si>
    <t>Tobacco Benchmarks:</t>
  </si>
  <si>
    <t>Multiples (x)</t>
  </si>
  <si>
    <t>IMPLIED VALUATION (ITC):</t>
  </si>
  <si>
    <t>This reflects structural discounts due to tobacco exposure, regulatory risks, and lower FMCG margin profile.</t>
  </si>
  <si>
    <t>(+) Unallocated Corporate Income / Adjustments</t>
  </si>
  <si>
    <t>(+) Non-current Investments (50% of 18,432)</t>
  </si>
  <si>
    <t>ITC Limited – Investment Summary</t>
  </si>
  <si>
    <t>NSE: ITC | FMCG / Tobacco Conglomerate |</t>
  </si>
  <si>
    <t>INVESTMENT THESIS</t>
  </si>
  <si>
    <t>creates regulatory and ESG valuation risk</t>
  </si>
  <si>
    <t>2. FMCG growing at 11% but EBIT margins at</t>
  </si>
  <si>
    <t>expansion not yet visible in cash flows</t>
  </si>
  <si>
    <t>3. ITC trades at 20x P/E vs tobacco peers at</t>
  </si>
  <si>
    <t>discount persists with no near-term catalyst</t>
  </si>
  <si>
    <t>4. Hotels demerger removes earnings drag but</t>
  </si>
  <si>
    <t>makes cigarette profit dependency more</t>
  </si>
  <si>
    <t>pronounced going forward</t>
  </si>
  <si>
    <t>Metric</t>
  </si>
  <si>
    <t>FY23</t>
  </si>
  <si>
    <t>FY24</t>
  </si>
  <si>
    <t>FY25</t>
  </si>
  <si>
    <t>FY26E</t>
  </si>
  <si>
    <t>FY27E</t>
  </si>
  <si>
    <t>FY28E</t>
  </si>
  <si>
    <t>P/E (x)</t>
  </si>
  <si>
    <t>EV/EBIT(x)</t>
  </si>
  <si>
    <t>39% revenue share - profit concentration</t>
  </si>
  <si>
    <t>interest expense is not explicitly modeled.</t>
  </si>
  <si>
    <t>Note: Historical figures show Adjusted PAT; forecast figures show NOPAT (EBIT × 75%)  as</t>
  </si>
  <si>
    <t>VALUATION SUMMARY</t>
  </si>
  <si>
    <t>Method</t>
  </si>
  <si>
    <t>Implied Value</t>
  </si>
  <si>
    <t>Vs CMP</t>
  </si>
  <si>
    <t>DCF Base Case</t>
  </si>
  <si>
    <t>FMCG Comps P/E</t>
  </si>
  <si>
    <t>Tobacco Comps P/E</t>
  </si>
  <si>
    <t xml:space="preserve">1. Using Tobacco Avg P/E: </t>
  </si>
  <si>
    <t xml:space="preserve">2. Using FMCG Avg P/E: </t>
  </si>
  <si>
    <t>+20%</t>
  </si>
  <si>
    <t>+260%</t>
  </si>
  <si>
    <t>FMCG implied ₹1,120 highlights ITC is not valued</t>
  </si>
  <si>
    <t>as pure FMCG - tobacco discount is structural</t>
  </si>
  <si>
    <t>SCENARIO ANALYSIS</t>
  </si>
  <si>
    <t>~8% vs HUL's 22% - re-rating requires margin</t>
  </si>
  <si>
    <t xml:space="preserve">Scenario  </t>
  </si>
  <si>
    <t>Key Assumption</t>
  </si>
  <si>
    <t>Target Price</t>
  </si>
  <si>
    <t>WACC 12%, g 3%, Slower FMCG</t>
  </si>
  <si>
    <t>WACC 11.29%, g 4%</t>
  </si>
  <si>
    <t>WACC 10%, g 5%, FMCG 13%</t>
  </si>
  <si>
    <t>₹351</t>
  </si>
  <si>
    <t>Even in bull case upside only ~13% from CMP  - asymmetric</t>
  </si>
  <si>
    <t>risk-reward, caution warranted</t>
  </si>
  <si>
    <t>KEY RISKS</t>
  </si>
  <si>
    <t>Risk</t>
  </si>
  <si>
    <t>Description</t>
  </si>
  <si>
    <t>Regulatory</t>
  </si>
  <si>
    <t>Execution</t>
  </si>
  <si>
    <t>FMCG margin expansion uncertain — decade of investment with margins still at ~8% vs industry benchmark of 22%</t>
  </si>
  <si>
    <t>ESG</t>
  </si>
  <si>
    <t>Institutional and ESG funds increasingly exclude tobacco — structural ceiling on multiple expansion</t>
  </si>
  <si>
    <t>Verdict</t>
  </si>
  <si>
    <t>Intrinsic Value:</t>
  </si>
  <si>
    <t>CMP:</t>
  </si>
  <si>
    <t>Downside:</t>
  </si>
  <si>
    <t>Bull case upside (~13%) does not compensate  for bear case downside (~30% to ₹217).</t>
  </si>
  <si>
    <t xml:space="preserve">RECOMMENDATION: </t>
  </si>
  <si>
    <t>CAUTIOUS / HOLD</t>
  </si>
  <si>
    <t>Adj. Earnings / NOPAT</t>
  </si>
  <si>
    <t>Market appears to be partially pricing future FMCG scaling and margin expansion ahead of current fundamentals</t>
  </si>
  <si>
    <t xml:space="preserve">IV. SENSITIVITY ANALYSIS </t>
  </si>
  <si>
    <t>Cigarettes contribute around 77.5% of total EBIT, indicating heavy dependence on a single high margin segment.</t>
  </si>
  <si>
    <t>1. Cigarettes contribute ~78% of EBIT despite</t>
  </si>
  <si>
    <t>Base case intrinsic value of ₹254.73 implies ~18% downside vs CMP of ₹311</t>
  </si>
  <si>
    <t>Base case value ₹254.73 vs CMP ₹311 → ~18% downside</t>
  </si>
  <si>
    <r>
      <t>Result:</t>
    </r>
    <r>
      <rPr>
        <sz val="11"/>
        <color theme="1"/>
        <rFont val="Calibri"/>
        <family val="2"/>
        <scheme val="minor"/>
      </rPr>
      <t xml:space="preserve"> Intrinsic value declines to ~₹216</t>
    </r>
  </si>
  <si>
    <t>₹216</t>
  </si>
  <si>
    <t>Rounded Sensitivity Base</t>
  </si>
  <si>
    <t xml:space="preserve">Sensitivity range varies between ₹216–351 depending on </t>
  </si>
  <si>
    <t>WACC and terminal growth assumptions.</t>
  </si>
  <si>
    <t>Excise duty hikes on cigarettes compress margins and volumes instantly - ~78% EBIT dependency makes this existential</t>
  </si>
  <si>
    <t>24x and FMCG peers at ~72x+ - conglomerate</t>
  </si>
  <si>
    <t>CMP: ₹311 | Date: 4th May 2026 | Analyst: Prathamesh Rathod</t>
  </si>
  <si>
    <t>2. Adjusted PAT used for forecasting and valuation consistency</t>
  </si>
  <si>
    <t>3.CapEx normalized at ~3% of revenue to smooth volatile reported investment flows</t>
  </si>
  <si>
    <t>4. Working capital modeled at ~2% of revenue for steady-state operations</t>
  </si>
  <si>
    <t>5. EBITDA is included for margin trend validation and for potential use in relative valuation (EV/EBITDA benchmarking)</t>
  </si>
  <si>
    <t>6. CFO/FCFF ratio near ~1.0x supports cash flow quality and FCFF quality</t>
  </si>
  <si>
    <t>1. FY25 PAT normalized by removing ~₹15,150 Cr hotel demerger gain</t>
  </si>
  <si>
    <t>1. Segment revenue shown on gross basis; consolidated revenue shown net of eliminations</t>
  </si>
  <si>
    <t>2. Forecasting uses consolidated revenue from financial statements</t>
  </si>
  <si>
    <t>3. "Others" segment excluded from valuation relevance due to immaterial contribution</t>
  </si>
  <si>
    <t>4. FY25 used as base year reference for segment forecasting</t>
  </si>
  <si>
    <t>Despite FMCG expansion, ITC’s valuation remains anchored to cigarettes due to disproportionate profit contribution and superior margins.</t>
  </si>
  <si>
    <t>Key Segment Insights:</t>
  </si>
  <si>
    <t>ITC Limited - Segment Analysis (FY2024-FY2025)</t>
  </si>
  <si>
    <t>2. FMCG margins expected to expand from ~8% to ~11.5% over forecast period, driven by operating leverage and premiumization</t>
  </si>
  <si>
    <t>5. EBIT used as the base for FCFF projections; Adjusted PAT used for bottom-line reconciliation and EPS trend analysis</t>
  </si>
  <si>
    <t>6. Working capital assumed at 2% of revenue to normalize Agri-segment seasonality</t>
  </si>
  <si>
    <t>Levered Beta</t>
  </si>
  <si>
    <t>9. 2026–2030 forecasts focus on core operating EBIT</t>
  </si>
  <si>
    <t>10. FY25 EBIT includes non-operating gains; FY26 FCFF reflects normalized operations</t>
  </si>
  <si>
    <t>8. Unallocated Corporate &amp; Other Income included for EBIT reconciliation</t>
  </si>
  <si>
    <t>7. "Others" segment assumed flat due to immaterial contribution</t>
  </si>
  <si>
    <t>5. Segment revenues modeled on gross basis; scaling factor applied for net revenue reconciliation</t>
  </si>
  <si>
    <t>3. Depreciation assumed at ~2.2% of revenue (proxy)</t>
  </si>
  <si>
    <t>Current market valuation implies stronger growth and margin expectations</t>
  </si>
  <si>
    <r>
      <t>Verdict:</t>
    </r>
    <r>
      <rPr>
        <sz val="11"/>
        <color theme="1"/>
        <rFont val="Calibri"/>
        <family val="2"/>
        <scheme val="minor"/>
      </rPr>
      <t xml:space="preserve"> Market pricing reflects optimistic long-term FMCG expectations</t>
    </r>
  </si>
  <si>
    <t>6. Valuation is sensitive to changes in WACC and terminal growth, as shown in sensitivity analysis.</t>
  </si>
  <si>
    <t>7. Current Market Price (CMP) compared to intrinsic value to assess valuation gap.</t>
  </si>
  <si>
    <t>8. Discount factors are derived as 1 / (1 + WACC)^n to determine the present value of future cash flows.</t>
  </si>
  <si>
    <t>Bull case valuation reaches ~₹351; base case remains ~18% below CMP</t>
  </si>
  <si>
    <t>9. Minority interest deducted to isolate value attributable solely to ITC shareholders</t>
  </si>
  <si>
    <t>5. 50% haircut on illiquid investments; Cash/Current at face value.</t>
  </si>
  <si>
    <t>1. EBIT sourced from Screener operating profit data</t>
  </si>
  <si>
    <t>2. ITC PAT normalized to exclude hotel demerger gain</t>
  </si>
  <si>
    <t>3. Financials based on FY25 consolidated data</t>
  </si>
  <si>
    <t>4. Tobacco benchmarks are more relevant due to higher profit contribution</t>
  </si>
  <si>
    <t>5. Median multiples used to reduce outlier distortion</t>
  </si>
  <si>
    <t>1. ITC trades at ~20x P/E, below FMCG peers (~72x) but closer to tobacco peers (~24x)</t>
  </si>
  <si>
    <t>2. Market valuation continues to anchor primarily to the cigarette business</t>
  </si>
  <si>
    <t>3. FMCG scale and margins remain below premium FMCG peer benchmarks</t>
  </si>
  <si>
    <t>4. Relative valuation suggests ITC is fairly priced relative to tobacco peers</t>
  </si>
  <si>
    <t>5. DCF valuation (₹254.73) also indicates limited upside from current levels</t>
  </si>
  <si>
    <t>FMCG-based multiples imply substantial upside, but current profitability does not support premium FMCG valuations.</t>
  </si>
  <si>
    <t>Valuation Insight:</t>
  </si>
  <si>
    <t xml:space="preserve">KEY FINANCIALS </t>
  </si>
  <si>
    <t>V. OUTPUT</t>
  </si>
  <si>
    <t>III. VALUATION ASSUMPTIONS</t>
  </si>
  <si>
    <t>VI. VALUATION SCENARIOS</t>
  </si>
  <si>
    <t xml:space="preserve">ITC Limited - Historical Financials </t>
  </si>
  <si>
    <t xml:space="preserve">ITC Limited - Assumptions </t>
  </si>
  <si>
    <t>FMCG is the primary long-term growth driver but currently contributes only ~6-7% of EBIT due to low margins.</t>
  </si>
  <si>
    <t>7. FCFF calculated using EBIT × (1 - Tax Rate) + D&amp;A - CapEx - ΔWC</t>
  </si>
  <si>
    <t>ITC Limited - Financial Forecast Model</t>
  </si>
  <si>
    <t>ITC Limited -  Discounted Cash Flow Valuation</t>
  </si>
  <si>
    <t>ITC Limited - DCF Valuation Summary</t>
  </si>
  <si>
    <t>ITC Limited - Relative Valuation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</si>
</sst>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%"/>
    <numFmt numFmtId="165" formatCode="_-* #,##0_-;\-* #,##0_-;_-* &quot;-&quot;??_-;_-@_-"/>
    <numFmt numFmtId="166" formatCode="[$₹-4009]\ #,##0.00"/>
    <numFmt numFmtId="167" formatCode="[$₹-4009]\ #,##0"/>
    <numFmt numFmtId="168" formatCode="0.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Arial"/>
      <family val="2"/>
    </font>
    <font>
      <u val="double"/>
      <sz val="10"/>
      <color theme="1"/>
      <name val="Arial"/>
      <family val="2"/>
    </font>
    <font>
      <b/>
      <u val="double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 val="double"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2989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ED6D6D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7F7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7">
    <xf numFmtId="0" fontId="0" fillId="0" borderId="0" xfId="0"/>
    <xf numFmtId="164" fontId="0" fillId="0" borderId="1" xfId="2" applyNumberFormat="1" applyFon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0" xfId="0" applyFont="1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0" fillId="0" borderId="13" xfId="0" applyBorder="1"/>
    <xf numFmtId="0" fontId="2" fillId="0" borderId="8" xfId="0" applyFont="1" applyBorder="1"/>
    <xf numFmtId="164" fontId="0" fillId="0" borderId="6" xfId="2" applyNumberFormat="1" applyFont="1" applyBorder="1" applyAlignment="1">
      <alignment horizontal="right"/>
    </xf>
    <xf numFmtId="167" fontId="5" fillId="0" borderId="1" xfId="0" applyNumberFormat="1" applyFont="1" applyBorder="1" applyAlignment="1">
      <alignment horizontal="right"/>
    </xf>
    <xf numFmtId="167" fontId="5" fillId="0" borderId="7" xfId="0" applyNumberFormat="1" applyFont="1" applyBorder="1" applyAlignment="1">
      <alignment horizontal="right"/>
    </xf>
    <xf numFmtId="167" fontId="0" fillId="0" borderId="1" xfId="0" applyNumberFormat="1" applyBorder="1" applyAlignment="1">
      <alignment horizontal="right"/>
    </xf>
    <xf numFmtId="167" fontId="2" fillId="5" borderId="2" xfId="0" applyNumberFormat="1" applyFont="1" applyFill="1" applyBorder="1" applyAlignment="1">
      <alignment horizontal="right"/>
    </xf>
    <xf numFmtId="167" fontId="2" fillId="5" borderId="9" xfId="0" applyNumberFormat="1" applyFont="1" applyFill="1" applyBorder="1" applyAlignment="1">
      <alignment horizontal="right"/>
    </xf>
    <xf numFmtId="164" fontId="6" fillId="0" borderId="6" xfId="2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9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0" fontId="0" fillId="0" borderId="6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  <xf numFmtId="0" fontId="2" fillId="7" borderId="4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164" fontId="0" fillId="0" borderId="7" xfId="2" applyNumberFormat="1" applyFont="1" applyBorder="1" applyAlignment="1">
      <alignment horizontal="right" vertical="center" wrapText="1"/>
    </xf>
    <xf numFmtId="164" fontId="0" fillId="0" borderId="9" xfId="2" applyNumberFormat="1" applyFont="1" applyBorder="1" applyAlignment="1">
      <alignment horizontal="right" vertical="center" wrapText="1"/>
    </xf>
    <xf numFmtId="164" fontId="0" fillId="0" borderId="7" xfId="2" applyNumberFormat="1" applyFont="1" applyBorder="1" applyAlignment="1"/>
    <xf numFmtId="164" fontId="0" fillId="0" borderId="9" xfId="2" applyNumberFormat="1" applyFont="1" applyBorder="1" applyAlignment="1"/>
    <xf numFmtId="0" fontId="0" fillId="0" borderId="0" xfId="0" applyAlignment="1">
      <alignment horizontal="left" vertical="center"/>
    </xf>
    <xf numFmtId="164" fontId="0" fillId="3" borderId="7" xfId="0" applyNumberFormat="1" applyFill="1" applyBorder="1"/>
    <xf numFmtId="164" fontId="0" fillId="3" borderId="7" xfId="0" applyNumberFormat="1" applyFill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5" fontId="3" fillId="0" borderId="3" xfId="1" applyNumberFormat="1" applyFont="1" applyBorder="1" applyAlignment="1"/>
    <xf numFmtId="165" fontId="0" fillId="0" borderId="3" xfId="1" applyNumberFormat="1" applyFont="1" applyBorder="1" applyAlignment="1"/>
    <xf numFmtId="164" fontId="0" fillId="0" borderId="3" xfId="2" applyNumberFormat="1" applyFont="1" applyBorder="1" applyAlignment="1"/>
    <xf numFmtId="165" fontId="3" fillId="0" borderId="1" xfId="1" applyNumberFormat="1" applyFont="1" applyBorder="1" applyAlignment="1"/>
    <xf numFmtId="165" fontId="0" fillId="0" borderId="1" xfId="1" applyNumberFormat="1" applyFont="1" applyBorder="1" applyAlignment="1"/>
    <xf numFmtId="164" fontId="0" fillId="0" borderId="1" xfId="2" applyNumberFormat="1" applyFont="1" applyBorder="1" applyAlignment="1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8" fillId="0" borderId="0" xfId="0" applyFont="1"/>
    <xf numFmtId="0" fontId="0" fillId="0" borderId="1" xfId="0" applyBorder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0" fillId="0" borderId="15" xfId="0" applyBorder="1" applyAlignment="1">
      <alignment vertical="center"/>
    </xf>
    <xf numFmtId="0" fontId="2" fillId="5" borderId="10" xfId="0" applyFont="1" applyFill="1" applyBorder="1" applyAlignment="1">
      <alignment vertical="center"/>
    </xf>
    <xf numFmtId="0" fontId="0" fillId="0" borderId="10" xfId="0" applyBorder="1"/>
    <xf numFmtId="0" fontId="2" fillId="7" borderId="21" xfId="0" applyFont="1" applyFill="1" applyBorder="1" applyAlignment="1">
      <alignment horizontal="center" vertical="center"/>
    </xf>
    <xf numFmtId="0" fontId="8" fillId="6" borderId="18" xfId="0" applyFont="1" applyFill="1" applyBorder="1" applyAlignment="1">
      <alignment horizontal="center"/>
    </xf>
    <xf numFmtId="0" fontId="8" fillId="9" borderId="2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2" fillId="10" borderId="16" xfId="0" applyFont="1" applyFill="1" applyBorder="1" applyAlignment="1">
      <alignment horizontal="center" vertical="center"/>
    </xf>
    <xf numFmtId="164" fontId="0" fillId="0" borderId="11" xfId="2" applyNumberFormat="1" applyFont="1" applyBorder="1"/>
    <xf numFmtId="164" fontId="0" fillId="0" borderId="12" xfId="2" applyNumberFormat="1" applyFont="1" applyBorder="1"/>
    <xf numFmtId="0" fontId="7" fillId="0" borderId="0" xfId="0" applyFont="1" applyAlignment="1">
      <alignment horizontal="center"/>
    </xf>
    <xf numFmtId="9" fontId="0" fillId="0" borderId="0" xfId="2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" xfId="0" applyFont="1" applyBorder="1"/>
    <xf numFmtId="9" fontId="0" fillId="0" borderId="1" xfId="0" applyNumberFormat="1" applyBorder="1"/>
    <xf numFmtId="0" fontId="2" fillId="2" borderId="1" xfId="0" applyFont="1" applyFill="1" applyBorder="1"/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5" xfId="0" applyBorder="1"/>
    <xf numFmtId="0" fontId="2" fillId="0" borderId="10" xfId="0" applyFont="1" applyBorder="1"/>
    <xf numFmtId="0" fontId="0" fillId="0" borderId="15" xfId="0" applyBorder="1" applyAlignment="1">
      <alignment horizontal="left" vertical="center"/>
    </xf>
    <xf numFmtId="0" fontId="0" fillId="0" borderId="24" xfId="0" applyBorder="1"/>
    <xf numFmtId="0" fontId="2" fillId="0" borderId="10" xfId="0" applyFont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5" fillId="0" borderId="0" xfId="0" applyFont="1"/>
    <xf numFmtId="0" fontId="0" fillId="0" borderId="1" xfId="0" applyBorder="1" applyAlignment="1">
      <alignment horizontal="right" vertical="center"/>
    </xf>
    <xf numFmtId="9" fontId="0" fillId="0" borderId="15" xfId="0" applyNumberFormat="1" applyBorder="1" applyAlignment="1">
      <alignment horizontal="right" vertical="center"/>
    </xf>
    <xf numFmtId="0" fontId="0" fillId="0" borderId="24" xfId="0" applyBorder="1" applyAlignment="1">
      <alignment horizontal="right"/>
    </xf>
    <xf numFmtId="0" fontId="0" fillId="0" borderId="15" xfId="0" applyBorder="1" applyAlignment="1">
      <alignment vertical="top" wrapText="1"/>
    </xf>
    <xf numFmtId="10" fontId="0" fillId="13" borderId="1" xfId="0" applyNumberFormat="1" applyFill="1" applyBorder="1" applyAlignment="1">
      <alignment horizontal="right" vertical="center"/>
    </xf>
    <xf numFmtId="9" fontId="6" fillId="13" borderId="1" xfId="2" applyFont="1" applyFill="1" applyBorder="1" applyAlignment="1">
      <alignment horizontal="right" vertical="center"/>
    </xf>
    <xf numFmtId="164" fontId="0" fillId="0" borderId="1" xfId="0" applyNumberFormat="1" applyBorder="1"/>
    <xf numFmtId="0" fontId="0" fillId="0" borderId="25" xfId="0" applyBorder="1"/>
    <xf numFmtId="164" fontId="0" fillId="0" borderId="26" xfId="2" applyNumberFormat="1" applyFont="1" applyBorder="1" applyAlignment="1"/>
    <xf numFmtId="0" fontId="0" fillId="0" borderId="26" xfId="0" applyBorder="1"/>
    <xf numFmtId="0" fontId="2" fillId="2" borderId="0" xfId="0" applyFont="1" applyFill="1"/>
    <xf numFmtId="0" fontId="0" fillId="2" borderId="0" xfId="0" applyFill="1"/>
    <xf numFmtId="9" fontId="0" fillId="0" borderId="7" xfId="0" applyNumberFormat="1" applyBorder="1"/>
    <xf numFmtId="10" fontId="0" fillId="0" borderId="7" xfId="0" applyNumberFormat="1" applyBorder="1"/>
    <xf numFmtId="9" fontId="0" fillId="0" borderId="14" xfId="0" applyNumberFormat="1" applyBorder="1"/>
    <xf numFmtId="9" fontId="0" fillId="0" borderId="26" xfId="0" applyNumberFormat="1" applyBorder="1"/>
    <xf numFmtId="10" fontId="2" fillId="0" borderId="12" xfId="0" applyNumberFormat="1" applyFont="1" applyBorder="1"/>
    <xf numFmtId="10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10" fontId="0" fillId="0" borderId="14" xfId="0" applyNumberFormat="1" applyBorder="1" applyAlignment="1">
      <alignment horizontal="right"/>
    </xf>
    <xf numFmtId="0" fontId="0" fillId="0" borderId="0" xfId="0" applyAlignment="1">
      <alignment horizontal="center"/>
    </xf>
    <xf numFmtId="9" fontId="0" fillId="0" borderId="18" xfId="2" applyFont="1" applyBorder="1" applyAlignment="1">
      <alignment horizontal="center"/>
    </xf>
    <xf numFmtId="9" fontId="0" fillId="0" borderId="15" xfId="2" applyFon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14" borderId="0" xfId="0" applyFill="1"/>
    <xf numFmtId="166" fontId="2" fillId="11" borderId="0" xfId="0" applyNumberFormat="1" applyFont="1" applyFill="1" applyAlignment="1">
      <alignment horizontal="center"/>
    </xf>
    <xf numFmtId="1" fontId="0" fillId="0" borderId="30" xfId="0" applyNumberFormat="1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0" fillId="0" borderId="32" xfId="0" applyNumberForma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1" fontId="0" fillId="12" borderId="29" xfId="0" applyNumberFormat="1" applyFill="1" applyBorder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0" fillId="0" borderId="34" xfId="0" applyBorder="1"/>
    <xf numFmtId="0" fontId="0" fillId="0" borderId="36" xfId="0" applyBorder="1"/>
    <xf numFmtId="1" fontId="0" fillId="9" borderId="37" xfId="0" applyNumberFormat="1" applyFill="1" applyBorder="1" applyAlignment="1">
      <alignment horizontal="center"/>
    </xf>
    <xf numFmtId="1" fontId="2" fillId="15" borderId="12" xfId="0" applyNumberFormat="1" applyFont="1" applyFill="1" applyBorder="1" applyAlignment="1">
      <alignment horizontal="center"/>
    </xf>
    <xf numFmtId="9" fontId="1" fillId="0" borderId="1" xfId="2" applyFont="1" applyBorder="1"/>
    <xf numFmtId="1" fontId="0" fillId="16" borderId="35" xfId="0" applyNumberFormat="1" applyFill="1" applyBorder="1" applyAlignment="1">
      <alignment horizontal="center"/>
    </xf>
    <xf numFmtId="0" fontId="0" fillId="4" borderId="38" xfId="0" applyFill="1" applyBorder="1"/>
    <xf numFmtId="0" fontId="0" fillId="4" borderId="39" xfId="0" applyFill="1" applyBorder="1"/>
    <xf numFmtId="0" fontId="0" fillId="4" borderId="40" xfId="0" applyFill="1" applyBorder="1" applyAlignment="1">
      <alignment vertical="center"/>
    </xf>
    <xf numFmtId="0" fontId="0" fillId="4" borderId="0" xfId="0" applyFill="1"/>
    <xf numFmtId="0" fontId="0" fillId="4" borderId="41" xfId="0" applyFill="1" applyBorder="1"/>
    <xf numFmtId="0" fontId="2" fillId="4" borderId="17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0" borderId="19" xfId="0" applyBorder="1"/>
    <xf numFmtId="0" fontId="0" fillId="0" borderId="38" xfId="0" applyBorder="1"/>
    <xf numFmtId="0" fontId="0" fillId="0" borderId="40" xfId="0" applyBorder="1"/>
    <xf numFmtId="0" fontId="0" fillId="0" borderId="17" xfId="0" applyBorder="1"/>
    <xf numFmtId="0" fontId="0" fillId="0" borderId="42" xfId="0" applyBorder="1"/>
    <xf numFmtId="0" fontId="0" fillId="2" borderId="1" xfId="0" applyFill="1" applyBorder="1" applyAlignment="1">
      <alignment horizontal="center"/>
    </xf>
    <xf numFmtId="0" fontId="12" fillId="4" borderId="19" xfId="0" applyFont="1" applyFill="1" applyBorder="1"/>
    <xf numFmtId="9" fontId="0" fillId="0" borderId="0" xfId="0" applyNumberFormat="1"/>
    <xf numFmtId="9" fontId="0" fillId="0" borderId="0" xfId="2" applyFont="1" applyAlignment="1">
      <alignment horizontal="center"/>
    </xf>
    <xf numFmtId="0" fontId="13" fillId="0" borderId="0" xfId="0" applyFont="1"/>
    <xf numFmtId="165" fontId="13" fillId="0" borderId="0" xfId="1" applyNumberFormat="1" applyFont="1"/>
    <xf numFmtId="0" fontId="13" fillId="0" borderId="0" xfId="0" applyFont="1" applyAlignment="1">
      <alignment horizontal="right"/>
    </xf>
    <xf numFmtId="165" fontId="13" fillId="0" borderId="0" xfId="1" applyNumberFormat="1" applyFont="1" applyAlignment="1">
      <alignment horizontal="right"/>
    </xf>
    <xf numFmtId="9" fontId="13" fillId="0" borderId="0" xfId="2" applyFont="1" applyAlignment="1">
      <alignment horizontal="right"/>
    </xf>
    <xf numFmtId="0" fontId="13" fillId="0" borderId="44" xfId="0" applyFont="1" applyBorder="1"/>
    <xf numFmtId="165" fontId="13" fillId="0" borderId="44" xfId="1" applyNumberFormat="1" applyFont="1" applyBorder="1" applyAlignment="1">
      <alignment horizontal="right"/>
    </xf>
    <xf numFmtId="0" fontId="14" fillId="0" borderId="0" xfId="0" applyFont="1"/>
    <xf numFmtId="43" fontId="14" fillId="0" borderId="0" xfId="1" applyFont="1"/>
    <xf numFmtId="0" fontId="13" fillId="0" borderId="0" xfId="0" applyFont="1" applyAlignment="1">
      <alignment horizontal="left" indent="1"/>
    </xf>
    <xf numFmtId="0" fontId="11" fillId="17" borderId="0" xfId="0" applyFont="1" applyFill="1"/>
    <xf numFmtId="10" fontId="0" fillId="0" borderId="0" xfId="0" applyNumberFormat="1"/>
    <xf numFmtId="0" fontId="10" fillId="17" borderId="0" xfId="0" applyFont="1" applyFill="1" applyAlignment="1">
      <alignment horizontal="center"/>
    </xf>
    <xf numFmtId="43" fontId="0" fillId="0" borderId="3" xfId="1" applyFont="1" applyBorder="1" applyAlignment="1"/>
    <xf numFmtId="164" fontId="0" fillId="0" borderId="1" xfId="2" applyNumberFormat="1" applyFont="1" applyBorder="1"/>
    <xf numFmtId="9" fontId="0" fillId="0" borderId="1" xfId="2" applyFont="1" applyBorder="1"/>
    <xf numFmtId="10" fontId="0" fillId="0" borderId="1" xfId="2" applyNumberFormat="1" applyFont="1" applyBorder="1"/>
    <xf numFmtId="0" fontId="2" fillId="5" borderId="36" xfId="0" applyFont="1" applyFill="1" applyBorder="1" applyAlignment="1">
      <alignment vertical="center"/>
    </xf>
    <xf numFmtId="2" fontId="2" fillId="0" borderId="1" xfId="0" applyNumberFormat="1" applyFont="1" applyBorder="1"/>
    <xf numFmtId="0" fontId="10" fillId="0" borderId="0" xfId="0" applyFont="1" applyAlignment="1">
      <alignment horizontal="center"/>
    </xf>
    <xf numFmtId="43" fontId="0" fillId="0" borderId="0" xfId="0" applyNumberFormat="1"/>
    <xf numFmtId="9" fontId="0" fillId="0" borderId="0" xfId="0" applyNumberFormat="1" applyAlignment="1">
      <alignment horizontal="center"/>
    </xf>
    <xf numFmtId="0" fontId="10" fillId="17" borderId="0" xfId="0" applyFont="1" applyFill="1"/>
    <xf numFmtId="9" fontId="3" fillId="0" borderId="0" xfId="0" applyNumberFormat="1" applyFont="1"/>
    <xf numFmtId="10" fontId="3" fillId="0" borderId="0" xfId="0" applyNumberFormat="1" applyFont="1"/>
    <xf numFmtId="0" fontId="3" fillId="0" borderId="0" xfId="0" applyFont="1"/>
    <xf numFmtId="0" fontId="15" fillId="0" borderId="0" xfId="0" applyFont="1"/>
    <xf numFmtId="0" fontId="12" fillId="0" borderId="0" xfId="0" applyFont="1"/>
    <xf numFmtId="10" fontId="12" fillId="0" borderId="0" xfId="0" applyNumberFormat="1" applyFont="1"/>
    <xf numFmtId="0" fontId="11" fillId="0" borderId="0" xfId="0" applyFont="1"/>
    <xf numFmtId="9" fontId="0" fillId="18" borderId="0" xfId="2" applyFont="1" applyFill="1"/>
    <xf numFmtId="0" fontId="0" fillId="17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0" fontId="13" fillId="3" borderId="0" xfId="0" applyFont="1" applyFill="1"/>
    <xf numFmtId="0" fontId="0" fillId="3" borderId="0" xfId="0" applyFill="1" applyAlignment="1">
      <alignment horizontal="right"/>
    </xf>
    <xf numFmtId="2" fontId="0" fillId="0" borderId="0" xfId="0" applyNumberFormat="1"/>
    <xf numFmtId="2" fontId="0" fillId="0" borderId="42" xfId="0" applyNumberFormat="1" applyBorder="1"/>
    <xf numFmtId="168" fontId="0" fillId="0" borderId="0" xfId="0" applyNumberFormat="1"/>
    <xf numFmtId="168" fontId="0" fillId="0" borderId="42" xfId="0" applyNumberFormat="1" applyBorder="1"/>
    <xf numFmtId="165" fontId="0" fillId="0" borderId="0" xfId="1" applyNumberFormat="1" applyFont="1"/>
    <xf numFmtId="165" fontId="0" fillId="0" borderId="42" xfId="1" applyNumberFormat="1" applyFont="1" applyBorder="1"/>
    <xf numFmtId="0" fontId="2" fillId="2" borderId="44" xfId="0" applyFont="1" applyFill="1" applyBorder="1"/>
    <xf numFmtId="168" fontId="2" fillId="2" borderId="44" xfId="0" applyNumberFormat="1" applyFont="1" applyFill="1" applyBorder="1"/>
    <xf numFmtId="165" fontId="2" fillId="2" borderId="44" xfId="1" applyNumberFormat="1" applyFont="1" applyFill="1" applyBorder="1"/>
    <xf numFmtId="165" fontId="0" fillId="0" borderId="0" xfId="1" applyNumberFormat="1" applyFont="1" applyAlignment="1">
      <alignment horizontal="right"/>
    </xf>
    <xf numFmtId="0" fontId="0" fillId="20" borderId="38" xfId="0" applyFill="1" applyBorder="1"/>
    <xf numFmtId="0" fontId="0" fillId="20" borderId="39" xfId="0" applyFill="1" applyBorder="1"/>
    <xf numFmtId="0" fontId="0" fillId="20" borderId="40" xfId="0" applyFill="1" applyBorder="1"/>
    <xf numFmtId="0" fontId="0" fillId="20" borderId="41" xfId="0" applyFill="1" applyBorder="1"/>
    <xf numFmtId="0" fontId="0" fillId="20" borderId="17" xfId="0" applyFill="1" applyBorder="1"/>
    <xf numFmtId="0" fontId="0" fillId="20" borderId="42" xfId="0" applyFill="1" applyBorder="1"/>
    <xf numFmtId="0" fontId="0" fillId="20" borderId="43" xfId="0" applyFill="1" applyBorder="1"/>
    <xf numFmtId="168" fontId="2" fillId="13" borderId="0" xfId="0" applyNumberFormat="1" applyFont="1" applyFill="1"/>
    <xf numFmtId="0" fontId="2" fillId="4" borderId="6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5" fontId="5" fillId="0" borderId="3" xfId="1" applyNumberFormat="1" applyFont="1" applyBorder="1" applyAlignment="1">
      <alignment horizontal="right"/>
    </xf>
    <xf numFmtId="165" fontId="5" fillId="0" borderId="14" xfId="1" applyNumberFormat="1" applyFont="1" applyBorder="1" applyAlignment="1">
      <alignment horizontal="right"/>
    </xf>
    <xf numFmtId="165" fontId="5" fillId="0" borderId="1" xfId="1" applyNumberFormat="1" applyFont="1" applyBorder="1" applyAlignment="1">
      <alignment horizontal="right"/>
    </xf>
    <xf numFmtId="165" fontId="5" fillId="0" borderId="7" xfId="1" applyNumberFormat="1" applyFont="1" applyBorder="1" applyAlignment="1">
      <alignment horizontal="right"/>
    </xf>
    <xf numFmtId="165" fontId="5" fillId="0" borderId="0" xfId="1" applyNumberFormat="1" applyFont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7" xfId="0" applyNumberFormat="1" applyBorder="1" applyAlignment="1">
      <alignment horizontal="right"/>
    </xf>
    <xf numFmtId="9" fontId="16" fillId="6" borderId="1" xfId="0" applyNumberFormat="1" applyFont="1" applyFill="1" applyBorder="1"/>
    <xf numFmtId="10" fontId="2" fillId="0" borderId="12" xfId="0" applyNumberFormat="1" applyFont="1" applyBorder="1" applyAlignment="1">
      <alignment horizontal="right"/>
    </xf>
    <xf numFmtId="10" fontId="2" fillId="0" borderId="12" xfId="2" applyNumberFormat="1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0" fillId="0" borderId="1" xfId="0" quotePrefix="1" applyBorder="1" applyAlignment="1">
      <alignment horizontal="right"/>
    </xf>
    <xf numFmtId="165" fontId="0" fillId="0" borderId="1" xfId="1" applyNumberFormat="1" applyFont="1" applyBorder="1" applyAlignment="1">
      <alignment horizontal="right"/>
    </xf>
    <xf numFmtId="168" fontId="0" fillId="0" borderId="1" xfId="0" applyNumberFormat="1" applyBorder="1" applyAlignment="1">
      <alignment horizontal="right"/>
    </xf>
    <xf numFmtId="9" fontId="0" fillId="21" borderId="1" xfId="0" applyNumberFormat="1" applyFill="1" applyBorder="1" applyAlignment="1">
      <alignment horizontal="right"/>
    </xf>
    <xf numFmtId="9" fontId="5" fillId="22" borderId="1" xfId="0" quotePrefix="1" applyNumberFormat="1" applyFont="1" applyFill="1" applyBorder="1" applyAlignment="1">
      <alignment horizontal="right"/>
    </xf>
    <xf numFmtId="0" fontId="0" fillId="16" borderId="1" xfId="0" applyFill="1" applyBorder="1"/>
    <xf numFmtId="0" fontId="0" fillId="13" borderId="1" xfId="0" applyFill="1" applyBorder="1"/>
    <xf numFmtId="0" fontId="0" fillId="9" borderId="1" xfId="0" applyFill="1" applyBorder="1"/>
    <xf numFmtId="0" fontId="2" fillId="16" borderId="1" xfId="0" applyFont="1" applyFill="1" applyBorder="1" applyAlignment="1">
      <alignment horizontal="right"/>
    </xf>
    <xf numFmtId="0" fontId="2" fillId="9" borderId="1" xfId="0" applyFont="1" applyFill="1" applyBorder="1" applyAlignment="1">
      <alignment horizontal="right"/>
    </xf>
    <xf numFmtId="0" fontId="0" fillId="21" borderId="1" xfId="0" applyFill="1" applyBorder="1"/>
    <xf numFmtId="43" fontId="0" fillId="21" borderId="1" xfId="0" applyNumberFormat="1" applyFill="1" applyBorder="1" applyAlignment="1">
      <alignment horizontal="right"/>
    </xf>
    <xf numFmtId="0" fontId="0" fillId="2" borderId="19" xfId="0" applyFill="1" applyBorder="1"/>
    <xf numFmtId="0" fontId="0" fillId="2" borderId="38" xfId="0" applyFill="1" applyBorder="1"/>
    <xf numFmtId="0" fontId="0" fillId="2" borderId="39" xfId="0" applyFill="1" applyBorder="1"/>
    <xf numFmtId="0" fontId="0" fillId="2" borderId="40" xfId="0" applyFill="1" applyBorder="1"/>
    <xf numFmtId="0" fontId="0" fillId="2" borderId="41" xfId="0" applyFill="1" applyBorder="1"/>
    <xf numFmtId="0" fontId="0" fillId="2" borderId="17" xfId="0" applyFill="1" applyBorder="1"/>
    <xf numFmtId="0" fontId="0" fillId="2" borderId="42" xfId="0" applyFill="1" applyBorder="1"/>
    <xf numFmtId="0" fontId="0" fillId="2" borderId="43" xfId="0" applyFill="1" applyBorder="1"/>
    <xf numFmtId="167" fontId="0" fillId="0" borderId="0" xfId="0" applyNumberFormat="1"/>
    <xf numFmtId="167" fontId="2" fillId="0" borderId="1" xfId="0" applyNumberFormat="1" applyFont="1" applyBorder="1" applyAlignment="1">
      <alignment horizontal="right"/>
    </xf>
    <xf numFmtId="0" fontId="18" fillId="0" borderId="0" xfId="0" applyFont="1"/>
    <xf numFmtId="0" fontId="10" fillId="0" borderId="0" xfId="0" applyFont="1"/>
    <xf numFmtId="0" fontId="19" fillId="18" borderId="0" xfId="0" applyFont="1" applyFill="1"/>
    <xf numFmtId="168" fontId="0" fillId="0" borderId="1" xfId="0" quotePrefix="1" applyNumberFormat="1" applyBorder="1" applyAlignment="1">
      <alignment horizontal="right"/>
    </xf>
    <xf numFmtId="167" fontId="0" fillId="0" borderId="39" xfId="0" applyNumberFormat="1" applyBorder="1" applyAlignment="1">
      <alignment horizontal="right"/>
    </xf>
    <xf numFmtId="167" fontId="0" fillId="0" borderId="43" xfId="0" applyNumberFormat="1" applyBorder="1" applyAlignment="1">
      <alignment horizontal="right"/>
    </xf>
    <xf numFmtId="0" fontId="20" fillId="0" borderId="0" xfId="0" applyFont="1"/>
    <xf numFmtId="0" fontId="11" fillId="23" borderId="0" xfId="0" applyFont="1" applyFill="1"/>
    <xf numFmtId="167" fontId="10" fillId="23" borderId="0" xfId="0" applyNumberFormat="1" applyFont="1" applyFill="1"/>
    <xf numFmtId="9" fontId="10" fillId="23" borderId="0" xfId="0" applyNumberFormat="1" applyFont="1" applyFill="1"/>
    <xf numFmtId="9" fontId="0" fillId="0" borderId="0" xfId="2" applyFont="1" applyAlignment="1">
      <alignment horizontal="right"/>
    </xf>
    <xf numFmtId="10" fontId="0" fillId="0" borderId="0" xfId="2" applyNumberFormat="1" applyFont="1" applyAlignment="1">
      <alignment horizontal="right"/>
    </xf>
    <xf numFmtId="10" fontId="21" fillId="0" borderId="0" xfId="2" applyNumberFormat="1" applyFont="1"/>
    <xf numFmtId="1" fontId="0" fillId="0" borderId="0" xfId="0" applyNumberFormat="1" applyAlignment="1">
      <alignment horizontal="center"/>
    </xf>
    <xf numFmtId="1" fontId="0" fillId="0" borderId="29" xfId="0" applyNumberFormat="1" applyBorder="1" applyAlignment="1">
      <alignment horizontal="center"/>
    </xf>
    <xf numFmtId="167" fontId="0" fillId="0" borderId="41" xfId="0" applyNumberFormat="1" applyBorder="1" applyAlignment="1">
      <alignment horizontal="right"/>
    </xf>
    <xf numFmtId="2" fontId="2" fillId="2" borderId="44" xfId="0" applyNumberFormat="1" applyFont="1" applyFill="1" applyBorder="1"/>
    <xf numFmtId="43" fontId="2" fillId="19" borderId="0" xfId="0" applyNumberFormat="1" applyFont="1" applyFill="1" applyAlignment="1">
      <alignment horizontal="left"/>
    </xf>
    <xf numFmtId="166" fontId="2" fillId="13" borderId="1" xfId="0" applyNumberFormat="1" applyFont="1" applyFill="1" applyBorder="1" applyAlignment="1">
      <alignment horizontal="right"/>
    </xf>
    <xf numFmtId="166" fontId="10" fillId="23" borderId="0" xfId="0" applyNumberFormat="1" applyFont="1" applyFill="1"/>
    <xf numFmtId="0" fontId="0" fillId="0" borderId="6" xfId="0" applyBorder="1" applyAlignment="1">
      <alignment wrapText="1"/>
    </xf>
    <xf numFmtId="0" fontId="8" fillId="24" borderId="19" xfId="0" applyFont="1" applyFill="1" applyBorder="1"/>
    <xf numFmtId="0" fontId="2" fillId="24" borderId="38" xfId="0" applyFont="1" applyFill="1" applyBorder="1" applyAlignment="1">
      <alignment horizontal="left" vertical="center"/>
    </xf>
    <xf numFmtId="0" fontId="0" fillId="24" borderId="38" xfId="0" applyFill="1" applyBorder="1"/>
    <xf numFmtId="0" fontId="0" fillId="24" borderId="39" xfId="0" applyFill="1" applyBorder="1"/>
    <xf numFmtId="0" fontId="0" fillId="24" borderId="40" xfId="0" applyFill="1" applyBorder="1"/>
    <xf numFmtId="0" fontId="0" fillId="24" borderId="0" xfId="0" applyFill="1" applyAlignment="1">
      <alignment horizontal="left" vertical="center"/>
    </xf>
    <xf numFmtId="0" fontId="0" fillId="24" borderId="0" xfId="0" applyFill="1" applyAlignment="1">
      <alignment horizontal="center" vertical="center"/>
    </xf>
    <xf numFmtId="0" fontId="0" fillId="24" borderId="41" xfId="0" applyFill="1" applyBorder="1" applyAlignment="1">
      <alignment vertical="center"/>
    </xf>
    <xf numFmtId="0" fontId="2" fillId="24" borderId="0" xfId="0" applyFont="1" applyFill="1" applyAlignment="1">
      <alignment horizontal="left" vertical="center"/>
    </xf>
    <xf numFmtId="0" fontId="0" fillId="24" borderId="0" xfId="0" applyFill="1"/>
    <xf numFmtId="0" fontId="0" fillId="24" borderId="41" xfId="0" applyFill="1" applyBorder="1"/>
    <xf numFmtId="0" fontId="0" fillId="24" borderId="0" xfId="0" applyFill="1" applyAlignment="1">
      <alignment vertical="center"/>
    </xf>
    <xf numFmtId="0" fontId="0" fillId="24" borderId="41" xfId="0" applyFill="1" applyBorder="1" applyAlignment="1">
      <alignment horizontal="left" vertical="center"/>
    </xf>
    <xf numFmtId="0" fontId="2" fillId="24" borderId="0" xfId="0" applyFont="1" applyFill="1"/>
    <xf numFmtId="0" fontId="0" fillId="24" borderId="0" xfId="0" applyFill="1" applyAlignment="1">
      <alignment horizontal="left"/>
    </xf>
    <xf numFmtId="0" fontId="0" fillId="24" borderId="41" xfId="0" applyFill="1" applyBorder="1" applyAlignment="1">
      <alignment horizontal="left"/>
    </xf>
    <xf numFmtId="0" fontId="0" fillId="24" borderId="17" xfId="0" applyFill="1" applyBorder="1"/>
    <xf numFmtId="0" fontId="0" fillId="24" borderId="42" xfId="0" applyFill="1" applyBorder="1"/>
    <xf numFmtId="0" fontId="0" fillId="24" borderId="43" xfId="0" applyFill="1" applyBorder="1"/>
    <xf numFmtId="0" fontId="8" fillId="24" borderId="15" xfId="0" applyFont="1" applyFill="1" applyBorder="1"/>
    <xf numFmtId="0" fontId="0" fillId="24" borderId="24" xfId="0" applyFill="1" applyBorder="1"/>
    <xf numFmtId="0" fontId="0" fillId="24" borderId="3" xfId="0" applyFill="1" applyBorder="1"/>
    <xf numFmtId="0" fontId="8" fillId="24" borderId="24" xfId="0" applyFont="1" applyFill="1" applyBorder="1"/>
    <xf numFmtId="0" fontId="4" fillId="24" borderId="19" xfId="0" applyFont="1" applyFill="1" applyBorder="1" applyAlignment="1">
      <alignment vertical="center"/>
    </xf>
    <xf numFmtId="0" fontId="0" fillId="24" borderId="40" xfId="0" applyFill="1" applyBorder="1" applyAlignment="1">
      <alignment vertical="center"/>
    </xf>
    <xf numFmtId="0" fontId="4" fillId="24" borderId="19" xfId="0" applyFont="1" applyFill="1" applyBorder="1"/>
    <xf numFmtId="0" fontId="0" fillId="24" borderId="40" xfId="0" applyFill="1" applyBorder="1" applyAlignment="1">
      <alignment horizontal="left" vertical="center"/>
    </xf>
    <xf numFmtId="0" fontId="0" fillId="0" borderId="46" xfId="0" applyBorder="1"/>
    <xf numFmtId="0" fontId="0" fillId="16" borderId="0" xfId="0" applyFill="1"/>
    <xf numFmtId="165" fontId="0" fillId="0" borderId="17" xfId="1" applyNumberFormat="1" applyFont="1" applyBorder="1" applyAlignment="1">
      <alignment horizontal="right" vertical="center"/>
    </xf>
    <xf numFmtId="165" fontId="0" fillId="0" borderId="21" xfId="1" applyNumberFormat="1" applyFon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165" fontId="0" fillId="0" borderId="18" xfId="1" applyNumberFormat="1" applyFont="1" applyBorder="1" applyAlignment="1">
      <alignment horizontal="right" vertical="center"/>
    </xf>
    <xf numFmtId="165" fontId="0" fillId="0" borderId="27" xfId="1" applyNumberFormat="1" applyFont="1" applyBorder="1" applyAlignment="1">
      <alignment horizontal="right" vertical="center"/>
    </xf>
    <xf numFmtId="165" fontId="0" fillId="0" borderId="28" xfId="1" applyNumberFormat="1" applyFont="1" applyBorder="1" applyAlignment="1">
      <alignment horizontal="right" vertical="center"/>
    </xf>
    <xf numFmtId="165" fontId="0" fillId="7" borderId="18" xfId="1" applyNumberFormat="1" applyFont="1" applyFill="1" applyBorder="1" applyAlignment="1">
      <alignment horizontal="right" vertical="center"/>
    </xf>
    <xf numFmtId="165" fontId="0" fillId="7" borderId="27" xfId="1" applyNumberFormat="1" applyFont="1" applyFill="1" applyBorder="1" applyAlignment="1">
      <alignment horizontal="right" vertical="center"/>
    </xf>
    <xf numFmtId="165" fontId="0" fillId="7" borderId="1" xfId="1" applyNumberFormat="1" applyFont="1" applyFill="1" applyBorder="1" applyAlignment="1">
      <alignment horizontal="right" vertical="center"/>
    </xf>
    <xf numFmtId="165" fontId="0" fillId="7" borderId="28" xfId="1" applyNumberFormat="1" applyFont="1" applyFill="1" applyBorder="1" applyAlignment="1">
      <alignment horizontal="right" vertical="center"/>
    </xf>
    <xf numFmtId="165" fontId="0" fillId="7" borderId="21" xfId="1" applyNumberFormat="1" applyFont="1" applyFill="1" applyBorder="1" applyAlignment="1">
      <alignment horizontal="right" vertical="center"/>
    </xf>
    <xf numFmtId="165" fontId="0" fillId="7" borderId="19" xfId="1" applyNumberFormat="1" applyFont="1" applyFill="1" applyBorder="1" applyAlignment="1">
      <alignment horizontal="right" vertical="center"/>
    </xf>
    <xf numFmtId="165" fontId="0" fillId="7" borderId="22" xfId="1" applyNumberFormat="1" applyFont="1" applyFill="1" applyBorder="1" applyAlignment="1">
      <alignment horizontal="right" vertical="center"/>
    </xf>
    <xf numFmtId="165" fontId="0" fillId="7" borderId="15" xfId="1" applyNumberFormat="1" applyFont="1" applyFill="1" applyBorder="1" applyAlignment="1">
      <alignment horizontal="right" vertical="center"/>
    </xf>
    <xf numFmtId="165" fontId="2" fillId="5" borderId="20" xfId="1" applyNumberFormat="1" applyFont="1" applyFill="1" applyBorder="1" applyAlignment="1">
      <alignment horizontal="right" vertical="center"/>
    </xf>
    <xf numFmtId="165" fontId="2" fillId="5" borderId="23" xfId="1" applyNumberFormat="1" applyFont="1" applyFill="1" applyBorder="1" applyAlignment="1">
      <alignment horizontal="right" vertical="center"/>
    </xf>
    <xf numFmtId="165" fontId="2" fillId="5" borderId="11" xfId="1" applyNumberFormat="1" applyFont="1" applyFill="1" applyBorder="1" applyAlignment="1">
      <alignment horizontal="right" vertical="center"/>
    </xf>
    <xf numFmtId="165" fontId="2" fillId="5" borderId="12" xfId="1" applyNumberFormat="1" applyFont="1" applyFill="1" applyBorder="1" applyAlignment="1">
      <alignment horizontal="right" vertical="center"/>
    </xf>
    <xf numFmtId="165" fontId="0" fillId="0" borderId="3" xfId="1" applyNumberFormat="1" applyFont="1" applyBorder="1" applyAlignment="1">
      <alignment horizontal="right" vertical="center"/>
    </xf>
    <xf numFmtId="165" fontId="0" fillId="0" borderId="15" xfId="1" applyNumberFormat="1" applyFont="1" applyBorder="1" applyAlignment="1">
      <alignment horizontal="right" vertical="center"/>
    </xf>
    <xf numFmtId="165" fontId="2" fillId="5" borderId="33" xfId="1" applyNumberFormat="1" applyFont="1" applyFill="1" applyBorder="1" applyAlignment="1">
      <alignment horizontal="right" vertical="center"/>
    </xf>
    <xf numFmtId="165" fontId="0" fillId="0" borderId="3" xfId="1" applyNumberFormat="1" applyFont="1" applyBorder="1" applyAlignment="1">
      <alignment horizontal="right"/>
    </xf>
    <xf numFmtId="165" fontId="0" fillId="0" borderId="15" xfId="1" applyNumberFormat="1" applyFont="1" applyBorder="1" applyAlignment="1">
      <alignment horizontal="right"/>
    </xf>
    <xf numFmtId="165" fontId="2" fillId="5" borderId="11" xfId="1" applyNumberFormat="1" applyFont="1" applyFill="1" applyBorder="1" applyAlignment="1">
      <alignment horizontal="right"/>
    </xf>
    <xf numFmtId="165" fontId="2" fillId="5" borderId="12" xfId="1" applyNumberFormat="1" applyFont="1" applyFill="1" applyBorder="1" applyAlignment="1">
      <alignment horizontal="right"/>
    </xf>
    <xf numFmtId="10" fontId="0" fillId="0" borderId="1" xfId="0" applyNumberFormat="1" applyBorder="1" applyAlignment="1">
      <alignment horizontal="right"/>
    </xf>
    <xf numFmtId="0" fontId="0" fillId="0" borderId="15" xfId="0" applyBorder="1" applyAlignment="1">
      <alignment horizontal="right"/>
    </xf>
    <xf numFmtId="9" fontId="1" fillId="0" borderId="3" xfId="2" applyFont="1" applyBorder="1" applyAlignment="1">
      <alignment horizontal="right"/>
    </xf>
    <xf numFmtId="9" fontId="1" fillId="0" borderId="1" xfId="0" applyNumberFormat="1" applyFont="1" applyBorder="1" applyAlignment="1">
      <alignment horizontal="right"/>
    </xf>
    <xf numFmtId="9" fontId="1" fillId="0" borderId="1" xfId="2" applyFont="1" applyBorder="1" applyAlignment="1">
      <alignment horizontal="right"/>
    </xf>
    <xf numFmtId="9" fontId="1" fillId="0" borderId="15" xfId="2" applyFont="1" applyBorder="1" applyAlignment="1">
      <alignment horizontal="right"/>
    </xf>
    <xf numFmtId="165" fontId="0" fillId="0" borderId="1" xfId="1" applyNumberFormat="1" applyFont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8" fillId="2" borderId="19" xfId="0" applyFont="1" applyFill="1" applyBorder="1"/>
    <xf numFmtId="0" fontId="8" fillId="14" borderId="19" xfId="0" applyFont="1" applyFill="1" applyBorder="1"/>
    <xf numFmtId="0" fontId="22" fillId="14" borderId="38" xfId="0" applyFont="1" applyFill="1" applyBorder="1"/>
    <xf numFmtId="0" fontId="0" fillId="14" borderId="38" xfId="0" applyFill="1" applyBorder="1"/>
    <xf numFmtId="0" fontId="0" fillId="14" borderId="39" xfId="0" applyFill="1" applyBorder="1"/>
    <xf numFmtId="0" fontId="0" fillId="14" borderId="40" xfId="0" applyFill="1" applyBorder="1" applyAlignment="1">
      <alignment vertical="center"/>
    </xf>
    <xf numFmtId="0" fontId="0" fillId="14" borderId="41" xfId="0" applyFill="1" applyBorder="1"/>
    <xf numFmtId="0" fontId="2" fillId="14" borderId="17" xfId="0" applyFont="1" applyFill="1" applyBorder="1"/>
    <xf numFmtId="0" fontId="0" fillId="14" borderId="42" xfId="0" applyFill="1" applyBorder="1"/>
    <xf numFmtId="0" fontId="0" fillId="14" borderId="43" xfId="0" applyFill="1" applyBorder="1"/>
    <xf numFmtId="0" fontId="8" fillId="20" borderId="19" xfId="0" applyFont="1" applyFill="1" applyBorder="1"/>
    <xf numFmtId="0" fontId="0" fillId="20" borderId="0" xfId="0" applyFill="1"/>
    <xf numFmtId="0" fontId="0" fillId="7" borderId="38" xfId="0" applyFill="1" applyBorder="1"/>
    <xf numFmtId="0" fontId="0" fillId="7" borderId="39" xfId="0" applyFill="1" applyBorder="1"/>
    <xf numFmtId="0" fontId="0" fillId="7" borderId="40" xfId="0" applyFill="1" applyBorder="1"/>
    <xf numFmtId="0" fontId="0" fillId="7" borderId="0" xfId="0" applyFill="1"/>
    <xf numFmtId="167" fontId="0" fillId="7" borderId="0" xfId="0" applyNumberFormat="1" applyFill="1" applyAlignment="1">
      <alignment horizontal="right" indent="1"/>
    </xf>
    <xf numFmtId="0" fontId="0" fillId="7" borderId="41" xfId="0" applyFill="1" applyBorder="1"/>
    <xf numFmtId="0" fontId="0" fillId="7" borderId="17" xfId="0" applyFill="1" applyBorder="1"/>
    <xf numFmtId="0" fontId="0" fillId="7" borderId="42" xfId="0" applyFill="1" applyBorder="1"/>
    <xf numFmtId="0" fontId="0" fillId="7" borderId="43" xfId="0" applyFill="1" applyBorder="1"/>
    <xf numFmtId="0" fontId="8" fillId="2" borderId="40" xfId="0" applyFont="1" applyFill="1" applyBorder="1"/>
    <xf numFmtId="0" fontId="8" fillId="7" borderId="19" xfId="0" applyFont="1" applyFill="1" applyBorder="1"/>
    <xf numFmtId="1" fontId="0" fillId="16" borderId="0" xfId="0" applyNumberFormat="1" applyFill="1"/>
    <xf numFmtId="0" fontId="0" fillId="9" borderId="0" xfId="0" applyFill="1"/>
    <xf numFmtId="1" fontId="0" fillId="9" borderId="0" xfId="0" applyNumberFormat="1" applyFill="1"/>
    <xf numFmtId="2" fontId="0" fillId="7" borderId="0" xfId="0" applyNumberFormat="1" applyFill="1"/>
    <xf numFmtId="0" fontId="10" fillId="17" borderId="0" xfId="0" applyFont="1" applyFill="1" applyAlignment="1">
      <alignment horizontal="right"/>
    </xf>
    <xf numFmtId="165" fontId="3" fillId="0" borderId="1" xfId="1" applyNumberFormat="1" applyFont="1" applyBorder="1"/>
    <xf numFmtId="165" fontId="3" fillId="0" borderId="15" xfId="1" applyNumberFormat="1" applyFont="1" applyBorder="1"/>
    <xf numFmtId="165" fontId="0" fillId="0" borderId="12" xfId="1" applyNumberFormat="1" applyFont="1" applyBorder="1"/>
    <xf numFmtId="165" fontId="0" fillId="0" borderId="12" xfId="1" applyNumberFormat="1" applyFont="1" applyBorder="1" applyAlignment="1">
      <alignment horizontal="right" vertical="center"/>
    </xf>
    <xf numFmtId="165" fontId="0" fillId="0" borderId="12" xfId="1" applyNumberFormat="1" applyFont="1" applyBorder="1" applyAlignment="1">
      <alignment horizontal="right"/>
    </xf>
    <xf numFmtId="165" fontId="2" fillId="2" borderId="1" xfId="1" applyNumberFormat="1" applyFont="1" applyFill="1" applyBorder="1"/>
    <xf numFmtId="0" fontId="7" fillId="0" borderId="0" xfId="0" applyFont="1" applyAlignment="1">
      <alignment horizontal="center"/>
    </xf>
    <xf numFmtId="0" fontId="11" fillId="17" borderId="0" xfId="0" applyFont="1" applyFill="1" applyAlignment="1">
      <alignment horizontal="center"/>
    </xf>
    <xf numFmtId="0" fontId="10" fillId="17" borderId="0" xfId="0" applyFont="1" applyFill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center"/>
    </xf>
    <xf numFmtId="0" fontId="8" fillId="2" borderId="0" xfId="0" applyFont="1" applyFill="1" applyAlignment="1">
      <alignment horizontal="left"/>
    </xf>
    <xf numFmtId="0" fontId="2" fillId="5" borderId="0" xfId="0" applyFont="1" applyFill="1" applyAlignment="1">
      <alignment horizontal="left"/>
    </xf>
    <xf numFmtId="0" fontId="8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9" fillId="8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0" fillId="0" borderId="1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28" xfId="0" applyBorder="1" applyAlignment="1">
      <alignment horizontal="center"/>
    </xf>
    <xf numFmtId="0" fontId="17" fillId="17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3">
    <dxf>
      <fill>
        <patternFill>
          <bgColor rgb="FFF29898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F29898"/>
      <color rgb="FFED6D6D"/>
      <color rgb="FFFF7F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52D0B-58DB-465B-B82E-A44DC0733F99}">
  <dimension ref="A1:P25"/>
  <sheetViews>
    <sheetView showGridLines="0" tabSelected="1" topLeftCell="B1" zoomScale="90" zoomScaleNormal="90" workbookViewId="0">
      <selection activeCell="J12" sqref="J12"/>
    </sheetView>
  </sheetViews>
  <sheetFormatPr defaultRowHeight="14.4" x14ac:dyDescent="0.3"/>
  <cols>
    <col min="2" max="2" width="7.21875" customWidth="1"/>
    <col min="3" max="3" width="26" customWidth="1"/>
    <col min="4" max="4" width="11.21875" customWidth="1"/>
    <col min="5" max="5" width="12.33203125" customWidth="1"/>
    <col min="6" max="6" width="10.44140625" customWidth="1"/>
    <col min="7" max="7" width="14.33203125" customWidth="1"/>
    <col min="8" max="8" width="24" bestFit="1" customWidth="1"/>
    <col min="9" max="9" width="10.33203125" bestFit="1" customWidth="1"/>
    <col min="10" max="10" width="22.5546875" bestFit="1" customWidth="1"/>
    <col min="11" max="11" width="16.33203125" bestFit="1" customWidth="1"/>
    <col min="12" max="12" width="29" customWidth="1"/>
    <col min="13" max="13" width="8.33203125" bestFit="1" customWidth="1"/>
    <col min="14" max="14" width="9.5546875" customWidth="1"/>
    <col min="15" max="15" width="13.6640625" bestFit="1" customWidth="1"/>
    <col min="16" max="16" width="11.109375" bestFit="1" customWidth="1"/>
  </cols>
  <sheetData>
    <row r="1" spans="1:16" ht="21" x14ac:dyDescent="0.4">
      <c r="A1" s="5"/>
      <c r="B1" s="351" t="s">
        <v>333</v>
      </c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</row>
    <row r="2" spans="1:16" x14ac:dyDescent="0.3">
      <c r="B2" s="5"/>
      <c r="P2" s="53" t="s">
        <v>48</v>
      </c>
    </row>
    <row r="3" spans="1:16" ht="15" thickBot="1" x14ac:dyDescent="0.35">
      <c r="B3" s="4" t="s">
        <v>0</v>
      </c>
      <c r="C3" s="4" t="s">
        <v>1</v>
      </c>
      <c r="D3" s="4" t="s">
        <v>3</v>
      </c>
      <c r="E3" s="4" t="s">
        <v>6</v>
      </c>
      <c r="F3" s="4" t="s">
        <v>2</v>
      </c>
      <c r="G3" s="4" t="s">
        <v>4</v>
      </c>
      <c r="H3" s="4" t="s">
        <v>42</v>
      </c>
      <c r="I3" s="4" t="s">
        <v>5</v>
      </c>
      <c r="J3" s="4" t="s">
        <v>46</v>
      </c>
      <c r="K3" s="4" t="s">
        <v>62</v>
      </c>
      <c r="L3" s="4" t="s">
        <v>47</v>
      </c>
      <c r="M3" s="4" t="s">
        <v>7</v>
      </c>
      <c r="N3" s="4" t="s">
        <v>159</v>
      </c>
      <c r="O3" s="4" t="s">
        <v>9</v>
      </c>
      <c r="P3" s="4" t="s">
        <v>8</v>
      </c>
    </row>
    <row r="4" spans="1:16" x14ac:dyDescent="0.3">
      <c r="B4" s="3">
        <v>2021</v>
      </c>
      <c r="C4" s="39">
        <v>49257.45</v>
      </c>
      <c r="D4" s="39">
        <v>17064.78</v>
      </c>
      <c r="E4" s="39">
        <v>1645.59</v>
      </c>
      <c r="F4" s="40">
        <f>D4+E4</f>
        <v>18710.37</v>
      </c>
      <c r="G4" s="39">
        <v>13161.19</v>
      </c>
      <c r="H4" s="39">
        <f>G4</f>
        <v>13161.19</v>
      </c>
      <c r="I4" s="39">
        <v>12526.97</v>
      </c>
      <c r="J4" s="39">
        <v>3000</v>
      </c>
      <c r="K4" s="39">
        <f>C4*3%</f>
        <v>1477.7234999999998</v>
      </c>
      <c r="L4" s="39">
        <f>C4*2%</f>
        <v>985.149</v>
      </c>
      <c r="M4" s="40">
        <f t="shared" ref="M4:M7" si="0">(D4 * 0.75) + E4 - K4 - L4</f>
        <v>11981.3025</v>
      </c>
      <c r="N4" s="156">
        <f>I4/M4</f>
        <v>1.0455432537489142</v>
      </c>
      <c r="O4" s="41">
        <f>F4/C4</f>
        <v>0.3798485305268543</v>
      </c>
      <c r="P4" s="41">
        <f>D4/C4</f>
        <v>0.3464405891900616</v>
      </c>
    </row>
    <row r="5" spans="1:16" x14ac:dyDescent="0.3">
      <c r="B5" s="2">
        <v>2022</v>
      </c>
      <c r="C5" s="42">
        <v>60644.54</v>
      </c>
      <c r="D5" s="42">
        <v>20623.150000000001</v>
      </c>
      <c r="E5" s="42">
        <v>1732.41</v>
      </c>
      <c r="F5" s="43">
        <f t="shared" ref="F5:F8" si="1">D5+E5</f>
        <v>22355.56</v>
      </c>
      <c r="G5" s="42">
        <v>15242.66</v>
      </c>
      <c r="H5" s="39">
        <f t="shared" ref="H5:H7" si="2">G5</f>
        <v>15242.66</v>
      </c>
      <c r="I5" s="42">
        <v>15775.51</v>
      </c>
      <c r="J5" s="42">
        <v>2238.4899999999998</v>
      </c>
      <c r="K5" s="39">
        <f>C5*3%</f>
        <v>1819.3362</v>
      </c>
      <c r="L5" s="39">
        <f t="shared" ref="L5:L8" si="3">C5*2%</f>
        <v>1212.8908000000001</v>
      </c>
      <c r="M5" s="40">
        <f t="shared" si="0"/>
        <v>14167.545500000004</v>
      </c>
      <c r="N5" s="156">
        <f t="shared" ref="N5:N8" si="4">I5/M5</f>
        <v>1.113496335692022</v>
      </c>
      <c r="O5" s="44">
        <f t="shared" ref="O5:O8" si="5">F5/C5</f>
        <v>0.3686326914178919</v>
      </c>
      <c r="P5" s="44">
        <f t="shared" ref="P5:P8" si="6">D5/C5</f>
        <v>0.3400660636555245</v>
      </c>
    </row>
    <row r="6" spans="1:16" x14ac:dyDescent="0.3">
      <c r="B6" s="2">
        <v>2023</v>
      </c>
      <c r="C6" s="42">
        <v>70919.03</v>
      </c>
      <c r="D6" s="42">
        <v>25704.26</v>
      </c>
      <c r="E6" s="42">
        <v>1809.01</v>
      </c>
      <c r="F6" s="43">
        <f t="shared" si="1"/>
        <v>27513.269999999997</v>
      </c>
      <c r="G6" s="42">
        <v>19191.66</v>
      </c>
      <c r="H6" s="39">
        <f t="shared" si="2"/>
        <v>19191.66</v>
      </c>
      <c r="I6" s="42">
        <v>18877.55</v>
      </c>
      <c r="J6" s="42">
        <v>5732.29</v>
      </c>
      <c r="K6" s="39">
        <f>C6*3%</f>
        <v>2127.5708999999997</v>
      </c>
      <c r="L6" s="39">
        <f t="shared" si="3"/>
        <v>1418.3806</v>
      </c>
      <c r="M6" s="40">
        <f t="shared" si="0"/>
        <v>17541.253499999999</v>
      </c>
      <c r="N6" s="156">
        <f t="shared" si="4"/>
        <v>1.0761802171093418</v>
      </c>
      <c r="O6" s="44">
        <f t="shared" si="5"/>
        <v>0.3879532757286725</v>
      </c>
      <c r="P6" s="44">
        <f t="shared" si="6"/>
        <v>0.36244517162741791</v>
      </c>
    </row>
    <row r="7" spans="1:16" x14ac:dyDescent="0.3">
      <c r="B7" s="2">
        <v>2024</v>
      </c>
      <c r="C7" s="42">
        <v>67931.94</v>
      </c>
      <c r="D7" s="42">
        <v>25187.53</v>
      </c>
      <c r="E7" s="42">
        <v>1518.05</v>
      </c>
      <c r="F7" s="43">
        <f t="shared" si="1"/>
        <v>26705.579999999998</v>
      </c>
      <c r="G7" s="42">
        <v>20458.78</v>
      </c>
      <c r="H7" s="39">
        <f t="shared" si="2"/>
        <v>20458.78</v>
      </c>
      <c r="I7" s="42">
        <v>17178.86</v>
      </c>
      <c r="J7" s="42">
        <v>2000</v>
      </c>
      <c r="K7" s="39">
        <f>C7*3%</f>
        <v>2037.9582</v>
      </c>
      <c r="L7" s="39">
        <f t="shared" si="3"/>
        <v>1358.6388000000002</v>
      </c>
      <c r="M7" s="40">
        <f t="shared" si="0"/>
        <v>17012.100499999997</v>
      </c>
      <c r="N7" s="156">
        <f t="shared" si="4"/>
        <v>1.0098024050586818</v>
      </c>
      <c r="O7" s="44">
        <f t="shared" si="5"/>
        <v>0.39312258710703679</v>
      </c>
      <c r="P7" s="44">
        <f t="shared" si="6"/>
        <v>0.37077595605248426</v>
      </c>
    </row>
    <row r="8" spans="1:16" x14ac:dyDescent="0.3">
      <c r="B8" s="2">
        <v>2025</v>
      </c>
      <c r="C8" s="42">
        <v>75323.34</v>
      </c>
      <c r="D8" s="42">
        <v>25839.45</v>
      </c>
      <c r="E8" s="42">
        <v>1646.32</v>
      </c>
      <c r="F8" s="43">
        <f t="shared" si="1"/>
        <v>27485.77</v>
      </c>
      <c r="G8" s="42">
        <v>34746.629999999997</v>
      </c>
      <c r="H8" s="42">
        <v>19600</v>
      </c>
      <c r="I8" s="42">
        <v>17627.04</v>
      </c>
      <c r="J8" s="42">
        <v>563.84</v>
      </c>
      <c r="K8" s="39">
        <f>C8*3%</f>
        <v>2259.7001999999998</v>
      </c>
      <c r="L8" s="39">
        <f t="shared" si="3"/>
        <v>1506.4667999999999</v>
      </c>
      <c r="M8" s="40">
        <f>(D8 * 0.75) + E8 - K8 - L8</f>
        <v>17259.740500000004</v>
      </c>
      <c r="N8" s="156">
        <f t="shared" si="4"/>
        <v>1.0212807081311563</v>
      </c>
      <c r="O8" s="44">
        <f t="shared" si="5"/>
        <v>0.3649037602421773</v>
      </c>
      <c r="P8" s="44">
        <f t="shared" si="6"/>
        <v>0.34304705553418108</v>
      </c>
    </row>
    <row r="11" spans="1:16" x14ac:dyDescent="0.3">
      <c r="C11" s="5" t="s">
        <v>123</v>
      </c>
      <c r="D11" s="5"/>
      <c r="E11" s="5"/>
      <c r="G11" s="53" t="s">
        <v>48</v>
      </c>
    </row>
    <row r="12" spans="1:16" x14ac:dyDescent="0.3">
      <c r="C12" s="139" t="s">
        <v>114</v>
      </c>
      <c r="D12" s="139" t="s">
        <v>115</v>
      </c>
      <c r="E12" s="355" t="s">
        <v>116</v>
      </c>
      <c r="F12" s="355"/>
      <c r="G12" s="355"/>
    </row>
    <row r="13" spans="1:16" x14ac:dyDescent="0.3">
      <c r="C13" s="6" t="s">
        <v>117</v>
      </c>
      <c r="D13" s="211">
        <f>G8</f>
        <v>34746.629999999997</v>
      </c>
      <c r="E13" s="354" t="s">
        <v>118</v>
      </c>
      <c r="F13" s="354"/>
      <c r="G13" s="354"/>
    </row>
    <row r="14" spans="1:16" x14ac:dyDescent="0.3">
      <c r="C14" s="6" t="s">
        <v>119</v>
      </c>
      <c r="D14" s="211">
        <v>15147</v>
      </c>
      <c r="E14" s="354" t="s">
        <v>120</v>
      </c>
      <c r="F14" s="354"/>
      <c r="G14" s="354"/>
    </row>
    <row r="15" spans="1:16" x14ac:dyDescent="0.3">
      <c r="C15" s="6" t="s">
        <v>42</v>
      </c>
      <c r="D15" s="211">
        <f>D13-D14</f>
        <v>19599.629999999997</v>
      </c>
      <c r="E15" s="354" t="s">
        <v>121</v>
      </c>
      <c r="F15" s="354"/>
      <c r="G15" s="354"/>
    </row>
    <row r="18" spans="3:14" ht="18" x14ac:dyDescent="0.35">
      <c r="C18" s="278" t="s">
        <v>41</v>
      </c>
      <c r="D18" s="255"/>
      <c r="E18" s="255"/>
      <c r="F18" s="255"/>
      <c r="G18" s="255"/>
      <c r="H18" s="255"/>
      <c r="I18" s="256"/>
    </row>
    <row r="19" spans="3:14" x14ac:dyDescent="0.3">
      <c r="C19" s="279" t="s">
        <v>291</v>
      </c>
      <c r="D19" s="258"/>
      <c r="E19" s="258"/>
      <c r="F19" s="258"/>
      <c r="G19" s="258"/>
      <c r="H19" s="258"/>
      <c r="I19" s="265"/>
    </row>
    <row r="20" spans="3:14" x14ac:dyDescent="0.3">
      <c r="C20" s="277" t="s">
        <v>286</v>
      </c>
      <c r="D20" s="264"/>
      <c r="E20" s="264"/>
      <c r="F20" s="264"/>
      <c r="G20" s="264"/>
      <c r="H20" s="264"/>
      <c r="I20" s="260"/>
      <c r="J20" s="34"/>
      <c r="K20" s="34"/>
      <c r="L20" s="34"/>
    </row>
    <row r="21" spans="3:14" x14ac:dyDescent="0.3">
      <c r="C21" s="257" t="s">
        <v>287</v>
      </c>
      <c r="D21" s="262"/>
      <c r="E21" s="262"/>
      <c r="F21" s="262"/>
      <c r="G21" s="262"/>
      <c r="H21" s="262"/>
      <c r="I21" s="263"/>
      <c r="J21" s="45"/>
      <c r="K21" s="34"/>
      <c r="L21" s="34"/>
    </row>
    <row r="22" spans="3:14" x14ac:dyDescent="0.3">
      <c r="C22" s="257" t="s">
        <v>288</v>
      </c>
      <c r="D22" s="262"/>
      <c r="E22" s="262"/>
      <c r="F22" s="262"/>
      <c r="G22" s="262"/>
      <c r="H22" s="262"/>
      <c r="I22" s="263"/>
      <c r="N22" s="46"/>
    </row>
    <row r="23" spans="3:14" x14ac:dyDescent="0.3">
      <c r="C23" s="257" t="s">
        <v>289</v>
      </c>
      <c r="D23" s="262"/>
      <c r="E23" s="262"/>
      <c r="F23" s="262"/>
      <c r="G23" s="262"/>
      <c r="H23" s="262"/>
      <c r="I23" s="263"/>
    </row>
    <row r="24" spans="3:14" x14ac:dyDescent="0.3">
      <c r="C24" s="257" t="s">
        <v>290</v>
      </c>
      <c r="D24" s="262"/>
      <c r="E24" s="262"/>
      <c r="F24" s="262"/>
      <c r="G24" s="262"/>
      <c r="H24" s="262"/>
      <c r="I24" s="263"/>
    </row>
    <row r="25" spans="3:14" x14ac:dyDescent="0.3">
      <c r="C25" s="269" t="s">
        <v>336</v>
      </c>
      <c r="D25" s="270"/>
      <c r="E25" s="270"/>
      <c r="F25" s="270"/>
      <c r="G25" s="270"/>
      <c r="H25" s="270"/>
      <c r="I25" s="271"/>
    </row>
  </sheetData>
  <mergeCells count="5">
    <mergeCell ref="B1:P1"/>
    <mergeCell ref="E13:G13"/>
    <mergeCell ref="E14:G14"/>
    <mergeCell ref="E15:G15"/>
    <mergeCell ref="E12:G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BFC98-79D0-4899-9F9A-E7E2577AE627}">
  <dimension ref="B1:V41"/>
  <sheetViews>
    <sheetView showGridLines="0" zoomScale="90" zoomScaleNormal="90" workbookViewId="0">
      <selection activeCell="K6" sqref="K6"/>
    </sheetView>
  </sheetViews>
  <sheetFormatPr defaultRowHeight="14.4" x14ac:dyDescent="0.3"/>
  <cols>
    <col min="2" max="2" width="21.21875" customWidth="1"/>
    <col min="3" max="3" width="15.6640625" customWidth="1"/>
    <col min="4" max="4" width="11.88671875" customWidth="1"/>
    <col min="5" max="5" width="13.77734375" bestFit="1" customWidth="1"/>
    <col min="6" max="6" width="10.5546875" bestFit="1" customWidth="1"/>
    <col min="7" max="7" width="12.21875" bestFit="1" customWidth="1"/>
    <col min="8" max="8" width="16.109375" bestFit="1" customWidth="1"/>
    <col min="9" max="9" width="20.88671875" bestFit="1" customWidth="1"/>
    <col min="10" max="10" width="20.21875" bestFit="1" customWidth="1"/>
  </cols>
  <sheetData>
    <row r="1" spans="2:21" ht="21" x14ac:dyDescent="0.4">
      <c r="B1" s="351" t="s">
        <v>298</v>
      </c>
      <c r="C1" s="351"/>
      <c r="D1" s="351"/>
      <c r="E1" s="351"/>
      <c r="F1" s="351"/>
      <c r="G1" s="351"/>
      <c r="H1" s="351"/>
      <c r="I1" s="351"/>
      <c r="J1" s="351"/>
      <c r="K1" s="351"/>
      <c r="L1" s="351"/>
    </row>
    <row r="2" spans="2:21" ht="15" thickBot="1" x14ac:dyDescent="0.35">
      <c r="I2" s="53" t="s">
        <v>48</v>
      </c>
    </row>
    <row r="3" spans="2:21" ht="15" thickBot="1" x14ac:dyDescent="0.35">
      <c r="B3" s="9" t="s">
        <v>10</v>
      </c>
      <c r="C3" s="10" t="s">
        <v>11</v>
      </c>
      <c r="D3" s="10" t="s">
        <v>12</v>
      </c>
      <c r="E3" s="10" t="s">
        <v>13</v>
      </c>
      <c r="F3" s="11" t="s">
        <v>14</v>
      </c>
      <c r="G3" s="197" t="s">
        <v>18</v>
      </c>
      <c r="H3" s="198" t="s">
        <v>19</v>
      </c>
      <c r="I3" s="198" t="s">
        <v>20</v>
      </c>
      <c r="U3" s="46"/>
    </row>
    <row r="4" spans="2:21" x14ac:dyDescent="0.3">
      <c r="B4" s="12" t="s">
        <v>15</v>
      </c>
      <c r="C4" s="199">
        <v>32631.27</v>
      </c>
      <c r="D4" s="199">
        <v>20024.87</v>
      </c>
      <c r="E4" s="199">
        <v>30596.59</v>
      </c>
      <c r="F4" s="200">
        <v>19089.169999999998</v>
      </c>
      <c r="G4" s="20">
        <f>D4/C4</f>
        <v>0.61367118104811735</v>
      </c>
      <c r="H4" s="1">
        <f>(C4-E4)/E4</f>
        <v>6.6500221103070647E-2</v>
      </c>
      <c r="I4" s="1">
        <f>D4/$D$11</f>
        <v>0.77498416158166683</v>
      </c>
    </row>
    <row r="5" spans="2:21" x14ac:dyDescent="0.3">
      <c r="B5" s="7" t="s">
        <v>128</v>
      </c>
      <c r="C5" s="201">
        <v>21981.57</v>
      </c>
      <c r="D5" s="201">
        <v>1579.66</v>
      </c>
      <c r="E5" s="201">
        <v>20966.830000000002</v>
      </c>
      <c r="F5" s="202">
        <v>1778.55</v>
      </c>
      <c r="G5" s="14">
        <f>D5/C5</f>
        <v>7.1862928808087867E-2</v>
      </c>
      <c r="H5" s="1">
        <f>(C5-E5)/E5</f>
        <v>4.8397397222183704E-2</v>
      </c>
      <c r="I5" s="1">
        <f>D5/$D$11</f>
        <v>6.1134553217279106E-2</v>
      </c>
    </row>
    <row r="6" spans="2:21" x14ac:dyDescent="0.3">
      <c r="B6" s="7" t="s">
        <v>16</v>
      </c>
      <c r="C6" s="201">
        <v>19753.8</v>
      </c>
      <c r="D6" s="201">
        <v>1478.03</v>
      </c>
      <c r="E6" s="201">
        <v>15791.83</v>
      </c>
      <c r="F6" s="202">
        <v>1254.43</v>
      </c>
      <c r="G6" s="14">
        <f>D6/C6</f>
        <v>7.4822565784811029E-2</v>
      </c>
      <c r="H6" s="1">
        <f>(C6-E6)/E6</f>
        <v>0.25088732591472929</v>
      </c>
      <c r="I6" s="1">
        <f>D6/$D$11</f>
        <v>5.7201362123327194E-2</v>
      </c>
    </row>
    <row r="7" spans="2:21" x14ac:dyDescent="0.3">
      <c r="B7" s="7" t="s">
        <v>17</v>
      </c>
      <c r="C7" s="201">
        <v>8422.81</v>
      </c>
      <c r="D7" s="201">
        <v>911.49</v>
      </c>
      <c r="E7" s="201">
        <v>8344.4</v>
      </c>
      <c r="F7" s="202">
        <v>1377.6</v>
      </c>
      <c r="G7" s="14">
        <f>D7/C7</f>
        <v>0.10821685399528187</v>
      </c>
      <c r="H7" s="1">
        <f>(C7-E7)/E7</f>
        <v>9.3967211543070639E-3</v>
      </c>
      <c r="I7" s="1">
        <f>D7/$D$11</f>
        <v>3.5275650400730364E-2</v>
      </c>
    </row>
    <row r="8" spans="2:21" x14ac:dyDescent="0.3">
      <c r="B8" s="7" t="s">
        <v>45</v>
      </c>
      <c r="C8" s="201">
        <v>167.37</v>
      </c>
      <c r="D8" s="201">
        <v>64.02</v>
      </c>
      <c r="E8" s="201">
        <v>145.26</v>
      </c>
      <c r="F8" s="202">
        <v>53.09</v>
      </c>
      <c r="G8" s="14">
        <f>D8/C8</f>
        <v>0.38250582541674133</v>
      </c>
      <c r="H8" s="1">
        <f>(C8-E8)/E8</f>
        <v>0.15220983064849247</v>
      </c>
      <c r="I8" s="1">
        <f>D8/$D$11</f>
        <v>2.4776433517150575E-3</v>
      </c>
    </row>
    <row r="9" spans="2:21" x14ac:dyDescent="0.3">
      <c r="B9" s="7"/>
      <c r="C9" s="15"/>
      <c r="D9" s="15"/>
      <c r="E9" s="15"/>
      <c r="F9" s="16"/>
      <c r="G9" s="14"/>
      <c r="H9" s="1"/>
      <c r="I9" s="1"/>
    </row>
    <row r="10" spans="2:21" ht="43.2" x14ac:dyDescent="0.3">
      <c r="B10" s="252" t="s">
        <v>207</v>
      </c>
      <c r="C10" s="204">
        <v>0</v>
      </c>
      <c r="D10" s="203">
        <v>1781</v>
      </c>
      <c r="E10" s="204">
        <v>0</v>
      </c>
      <c r="F10" s="205">
        <v>0</v>
      </c>
      <c r="G10" s="7"/>
      <c r="H10" s="6"/>
      <c r="I10" s="158">
        <f>D10/$D$11</f>
        <v>6.8926629325281444E-2</v>
      </c>
    </row>
    <row r="11" spans="2:21" ht="15" thickBot="1" x14ac:dyDescent="0.35">
      <c r="B11" s="13" t="s">
        <v>21</v>
      </c>
      <c r="C11" s="18">
        <f>SUM(C4:C8)</f>
        <v>82956.819999999992</v>
      </c>
      <c r="D11" s="18">
        <f>SUM(D4:D10)</f>
        <v>25839.07</v>
      </c>
      <c r="E11" s="18">
        <f>SUM(E4:E8)</f>
        <v>75844.909999999989</v>
      </c>
      <c r="F11" s="19">
        <f>SUM(F4:F8)</f>
        <v>23552.839999999997</v>
      </c>
      <c r="G11" s="7"/>
      <c r="H11" s="6"/>
      <c r="I11" s="206">
        <f>SUM(I4:I10)</f>
        <v>1</v>
      </c>
    </row>
    <row r="13" spans="2:21" x14ac:dyDescent="0.3">
      <c r="B13" s="5" t="s">
        <v>127</v>
      </c>
      <c r="D13" s="53" t="s">
        <v>48</v>
      </c>
    </row>
    <row r="14" spans="2:21" x14ac:dyDescent="0.3">
      <c r="B14" s="134" t="s">
        <v>124</v>
      </c>
      <c r="C14" s="135"/>
      <c r="D14" s="236">
        <f>C11</f>
        <v>82956.819999999992</v>
      </c>
    </row>
    <row r="15" spans="2:21" x14ac:dyDescent="0.3">
      <c r="B15" s="136" t="s">
        <v>125</v>
      </c>
      <c r="D15" s="247">
        <v>7634</v>
      </c>
    </row>
    <row r="16" spans="2:21" x14ac:dyDescent="0.3">
      <c r="B16" s="137" t="s">
        <v>126</v>
      </c>
      <c r="C16" s="138"/>
      <c r="D16" s="237">
        <f>D14-D15</f>
        <v>75322.819999999992</v>
      </c>
    </row>
    <row r="18" spans="2:22" ht="15.6" x14ac:dyDescent="0.3">
      <c r="B18" s="272" t="s">
        <v>297</v>
      </c>
      <c r="C18" s="254" t="s">
        <v>22</v>
      </c>
      <c r="D18" s="254"/>
      <c r="E18" s="254"/>
      <c r="F18" s="255"/>
      <c r="G18" s="255"/>
      <c r="H18" s="255"/>
      <c r="I18" s="255"/>
      <c r="J18" s="256"/>
    </row>
    <row r="19" spans="2:22" x14ac:dyDescent="0.3">
      <c r="B19" s="273"/>
      <c r="C19" s="258" t="s">
        <v>274</v>
      </c>
      <c r="D19" s="259"/>
      <c r="E19" s="259"/>
      <c r="F19" s="259"/>
      <c r="G19" s="259"/>
      <c r="H19" s="259"/>
      <c r="I19" s="259"/>
      <c r="J19" s="260"/>
      <c r="N19" s="45"/>
      <c r="O19" s="45"/>
      <c r="P19" s="45"/>
      <c r="Q19" s="45"/>
      <c r="R19" s="45"/>
      <c r="S19" s="45"/>
      <c r="T19" s="45"/>
      <c r="U19" s="45"/>
      <c r="V19" s="45"/>
    </row>
    <row r="20" spans="2:22" x14ac:dyDescent="0.3">
      <c r="B20" s="273"/>
      <c r="C20" s="261" t="s">
        <v>122</v>
      </c>
      <c r="D20" s="261"/>
      <c r="E20" s="261"/>
      <c r="F20" s="262"/>
      <c r="G20" s="262"/>
      <c r="H20" s="262"/>
      <c r="I20" s="262"/>
      <c r="J20" s="263"/>
    </row>
    <row r="21" spans="2:22" x14ac:dyDescent="0.3">
      <c r="B21" s="273"/>
      <c r="C21" s="264" t="s">
        <v>335</v>
      </c>
      <c r="D21" s="264"/>
      <c r="E21" s="264"/>
      <c r="F21" s="264"/>
      <c r="G21" s="264"/>
      <c r="H21" s="264"/>
      <c r="I21" s="264"/>
      <c r="J21" s="263"/>
    </row>
    <row r="22" spans="2:22" x14ac:dyDescent="0.3">
      <c r="B22" s="273"/>
      <c r="C22" s="261" t="s">
        <v>23</v>
      </c>
      <c r="D22" s="261"/>
      <c r="E22" s="261"/>
      <c r="F22" s="262"/>
      <c r="G22" s="262"/>
      <c r="H22" s="262"/>
      <c r="I22" s="262"/>
      <c r="J22" s="260"/>
    </row>
    <row r="23" spans="2:22" x14ac:dyDescent="0.3">
      <c r="B23" s="273"/>
      <c r="C23" s="258" t="s">
        <v>26</v>
      </c>
      <c r="D23" s="258"/>
      <c r="E23" s="258"/>
      <c r="F23" s="258"/>
      <c r="G23" s="258"/>
      <c r="H23" s="258"/>
      <c r="I23" s="258"/>
      <c r="J23" s="263"/>
    </row>
    <row r="24" spans="2:22" x14ac:dyDescent="0.3">
      <c r="B24" s="273"/>
      <c r="C24" s="261" t="s">
        <v>24</v>
      </c>
      <c r="D24" s="261"/>
      <c r="E24" s="261"/>
      <c r="F24" s="262"/>
      <c r="G24" s="262"/>
      <c r="H24" s="262"/>
      <c r="I24" s="262"/>
      <c r="J24" s="263"/>
      <c r="K24" s="45"/>
      <c r="L24" s="45"/>
      <c r="M24" s="45"/>
    </row>
    <row r="25" spans="2:22" x14ac:dyDescent="0.3">
      <c r="B25" s="273"/>
      <c r="C25" s="258" t="s">
        <v>25</v>
      </c>
      <c r="D25" s="258"/>
      <c r="E25" s="258"/>
      <c r="F25" s="258"/>
      <c r="G25" s="258"/>
      <c r="H25" s="258"/>
      <c r="I25" s="258"/>
      <c r="J25" s="265"/>
    </row>
    <row r="26" spans="2:22" x14ac:dyDescent="0.3">
      <c r="B26" s="273"/>
      <c r="C26" s="261" t="s">
        <v>43</v>
      </c>
      <c r="D26" s="261"/>
      <c r="E26" s="261"/>
      <c r="F26" s="262"/>
      <c r="G26" s="262"/>
      <c r="H26" s="262"/>
      <c r="I26" s="262"/>
      <c r="J26" s="263"/>
    </row>
    <row r="27" spans="2:22" x14ac:dyDescent="0.3">
      <c r="B27" s="273"/>
      <c r="C27" s="258" t="s">
        <v>44</v>
      </c>
      <c r="D27" s="258"/>
      <c r="E27" s="258"/>
      <c r="F27" s="258"/>
      <c r="G27" s="258"/>
      <c r="H27" s="258"/>
      <c r="I27" s="258"/>
      <c r="J27" s="265"/>
    </row>
    <row r="28" spans="2:22" x14ac:dyDescent="0.3">
      <c r="B28" s="273"/>
      <c r="C28" s="266" t="s">
        <v>160</v>
      </c>
      <c r="D28" s="262"/>
      <c r="E28" s="262"/>
      <c r="F28" s="262"/>
      <c r="G28" s="262"/>
      <c r="H28" s="262"/>
      <c r="I28" s="262"/>
      <c r="J28" s="263"/>
    </row>
    <row r="29" spans="2:22" x14ac:dyDescent="0.3">
      <c r="B29" s="274"/>
      <c r="C29" s="270" t="s">
        <v>296</v>
      </c>
      <c r="D29" s="270"/>
      <c r="E29" s="270"/>
      <c r="F29" s="270"/>
      <c r="G29" s="270"/>
      <c r="H29" s="270"/>
      <c r="I29" s="270"/>
      <c r="J29" s="271"/>
    </row>
    <row r="30" spans="2:22" ht="15.6" x14ac:dyDescent="0.3">
      <c r="B30" s="275" t="s">
        <v>41</v>
      </c>
      <c r="C30" s="267" t="s">
        <v>292</v>
      </c>
      <c r="D30" s="267"/>
      <c r="E30" s="267"/>
      <c r="F30" s="267"/>
      <c r="G30" s="267"/>
      <c r="H30" s="267"/>
      <c r="I30" s="267"/>
      <c r="J30" s="268"/>
    </row>
    <row r="31" spans="2:22" x14ac:dyDescent="0.3">
      <c r="B31" s="273"/>
      <c r="C31" s="267" t="s">
        <v>293</v>
      </c>
      <c r="D31" s="267"/>
      <c r="E31" s="267"/>
      <c r="F31" s="267"/>
      <c r="G31" s="267"/>
      <c r="H31" s="267"/>
      <c r="I31" s="262"/>
      <c r="J31" s="263"/>
    </row>
    <row r="32" spans="2:22" x14ac:dyDescent="0.3">
      <c r="B32" s="273"/>
      <c r="C32" s="262" t="s">
        <v>294</v>
      </c>
      <c r="D32" s="262"/>
      <c r="E32" s="262"/>
      <c r="F32" s="262"/>
      <c r="G32" s="262"/>
      <c r="H32" s="262"/>
      <c r="I32" s="262"/>
      <c r="J32" s="263"/>
      <c r="K32" s="46"/>
    </row>
    <row r="33" spans="2:10" x14ac:dyDescent="0.3">
      <c r="B33" s="274"/>
      <c r="C33" s="270" t="s">
        <v>295</v>
      </c>
      <c r="D33" s="270"/>
      <c r="E33" s="270"/>
      <c r="F33" s="270"/>
      <c r="G33" s="270"/>
      <c r="H33" s="270"/>
      <c r="I33" s="270"/>
      <c r="J33" s="271"/>
    </row>
    <row r="41" spans="2:10" x14ac:dyDescent="0.3">
      <c r="F41" s="67"/>
      <c r="G41" s="67"/>
      <c r="H41" s="67"/>
      <c r="I41" s="67"/>
      <c r="J41" s="67"/>
    </row>
  </sheetData>
  <mergeCells count="1">
    <mergeCell ref="B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D4204-CB4A-4AE7-A780-6977333941D7}">
  <dimension ref="A1:AD63"/>
  <sheetViews>
    <sheetView showGridLines="0" zoomScale="90" zoomScaleNormal="90" workbookViewId="0">
      <selection activeCell="H13" sqref="H13"/>
    </sheetView>
  </sheetViews>
  <sheetFormatPr defaultRowHeight="14.4" x14ac:dyDescent="0.3"/>
  <cols>
    <col min="2" max="2" width="28.88671875" bestFit="1" customWidth="1"/>
    <col min="3" max="3" width="21.44140625" bestFit="1" customWidth="1"/>
    <col min="4" max="4" width="13" bestFit="1" customWidth="1"/>
    <col min="9" max="9" width="14.77734375" bestFit="1" customWidth="1"/>
    <col min="11" max="11" width="13" bestFit="1" customWidth="1"/>
    <col min="18" max="18" width="13.109375" customWidth="1"/>
  </cols>
  <sheetData>
    <row r="1" spans="1:30" ht="21" x14ac:dyDescent="0.4">
      <c r="A1" s="351" t="s">
        <v>334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</row>
    <row r="2" spans="1:30" ht="21" x14ac:dyDescent="0.4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</row>
    <row r="4" spans="1:30" ht="18.600000000000001" thickBot="1" x14ac:dyDescent="0.35">
      <c r="B4" s="356" t="s">
        <v>27</v>
      </c>
      <c r="C4" s="356"/>
      <c r="D4" s="356"/>
      <c r="E4" s="356"/>
      <c r="H4" s="276" t="s">
        <v>37</v>
      </c>
      <c r="I4" s="255"/>
      <c r="J4" s="255"/>
      <c r="K4" s="255"/>
      <c r="L4" s="255"/>
      <c r="M4" s="255"/>
      <c r="N4" s="255"/>
      <c r="O4" s="255"/>
      <c r="P4" s="255"/>
      <c r="Q4" s="255"/>
      <c r="R4" s="256"/>
    </row>
    <row r="5" spans="1:30" x14ac:dyDescent="0.3">
      <c r="B5" s="28" t="s">
        <v>10</v>
      </c>
      <c r="C5" s="29" t="s">
        <v>28</v>
      </c>
      <c r="H5" s="277" t="s">
        <v>40</v>
      </c>
      <c r="I5" s="264"/>
      <c r="J5" s="264"/>
      <c r="K5" s="264"/>
      <c r="L5" s="264"/>
      <c r="M5" s="262"/>
      <c r="N5" s="262"/>
      <c r="O5" s="262"/>
      <c r="P5" s="262"/>
      <c r="Q5" s="262"/>
      <c r="R5" s="263"/>
    </row>
    <row r="6" spans="1:30" ht="15" customHeight="1" x14ac:dyDescent="0.3">
      <c r="B6" s="24" t="s">
        <v>15</v>
      </c>
      <c r="C6" s="30">
        <v>0.05</v>
      </c>
      <c r="H6" s="277" t="s">
        <v>299</v>
      </c>
      <c r="I6" s="264"/>
      <c r="J6" s="264"/>
      <c r="K6" s="264"/>
      <c r="L6" s="264"/>
      <c r="M6" s="264"/>
      <c r="N6" s="264"/>
      <c r="O6" s="264"/>
      <c r="P6" s="264"/>
      <c r="Q6" s="264"/>
      <c r="R6" s="260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</row>
    <row r="7" spans="1:30" x14ac:dyDescent="0.3">
      <c r="B7" s="24" t="s">
        <v>29</v>
      </c>
      <c r="C7" s="30">
        <v>0.11</v>
      </c>
      <c r="H7" s="277" t="s">
        <v>38</v>
      </c>
      <c r="I7" s="264"/>
      <c r="J7" s="264"/>
      <c r="K7" s="264"/>
      <c r="L7" s="264"/>
      <c r="M7" s="264"/>
      <c r="N7" s="264"/>
      <c r="O7" s="262"/>
      <c r="P7" s="262"/>
      <c r="Q7" s="262"/>
      <c r="R7" s="263"/>
    </row>
    <row r="8" spans="1:30" x14ac:dyDescent="0.3">
      <c r="B8" s="24" t="s">
        <v>16</v>
      </c>
      <c r="C8" s="30">
        <v>7.0000000000000007E-2</v>
      </c>
      <c r="H8" s="277" t="s">
        <v>39</v>
      </c>
      <c r="I8" s="264"/>
      <c r="J8" s="264"/>
      <c r="K8" s="264"/>
      <c r="L8" s="264"/>
      <c r="M8" s="264"/>
      <c r="N8" s="262"/>
      <c r="O8" s="262"/>
      <c r="P8" s="262"/>
      <c r="Q8" s="262"/>
      <c r="R8" s="263"/>
    </row>
    <row r="9" spans="1:30" ht="15" thickBot="1" x14ac:dyDescent="0.35">
      <c r="B9" s="25" t="s">
        <v>17</v>
      </c>
      <c r="C9" s="31">
        <v>0.04</v>
      </c>
      <c r="H9" s="277" t="s">
        <v>300</v>
      </c>
      <c r="I9" s="264"/>
      <c r="J9" s="264"/>
      <c r="K9" s="264"/>
      <c r="L9" s="264"/>
      <c r="M9" s="264"/>
      <c r="N9" s="264"/>
      <c r="O9" s="262"/>
      <c r="P9" s="262"/>
      <c r="Q9" s="262"/>
      <c r="R9" s="263"/>
    </row>
    <row r="10" spans="1:30" x14ac:dyDescent="0.3">
      <c r="H10" s="269" t="s">
        <v>301</v>
      </c>
      <c r="I10" s="270"/>
      <c r="J10" s="270"/>
      <c r="K10" s="270"/>
      <c r="L10" s="270"/>
      <c r="M10" s="270"/>
      <c r="N10" s="270"/>
      <c r="O10" s="270"/>
      <c r="P10" s="270"/>
      <c r="Q10" s="270"/>
      <c r="R10" s="271"/>
    </row>
    <row r="12" spans="1:30" ht="16.2" thickBot="1" x14ac:dyDescent="0.35">
      <c r="B12" s="358" t="s">
        <v>30</v>
      </c>
      <c r="C12" s="358"/>
      <c r="D12" s="358"/>
      <c r="E12" s="358"/>
    </row>
    <row r="13" spans="1:30" x14ac:dyDescent="0.3">
      <c r="B13" s="28" t="s">
        <v>10</v>
      </c>
      <c r="C13" s="29" t="s">
        <v>8</v>
      </c>
    </row>
    <row r="14" spans="1:30" x14ac:dyDescent="0.3">
      <c r="B14" s="7" t="s">
        <v>15</v>
      </c>
      <c r="C14" s="32">
        <v>0.62</v>
      </c>
    </row>
    <row r="15" spans="1:30" x14ac:dyDescent="0.3">
      <c r="B15" s="7" t="s">
        <v>29</v>
      </c>
      <c r="C15" s="35">
        <f>C43</f>
        <v>7.8E-2</v>
      </c>
    </row>
    <row r="16" spans="1:30" x14ac:dyDescent="0.3">
      <c r="B16" s="7" t="s">
        <v>16</v>
      </c>
      <c r="C16" s="32">
        <v>7.0000000000000007E-2</v>
      </c>
    </row>
    <row r="17" spans="2:7" ht="15" thickBot="1" x14ac:dyDescent="0.35">
      <c r="B17" s="8" t="s">
        <v>17</v>
      </c>
      <c r="C17" s="33">
        <v>0.11</v>
      </c>
    </row>
    <row r="20" spans="2:7" ht="15" thickBot="1" x14ac:dyDescent="0.35">
      <c r="B20" s="94" t="s">
        <v>162</v>
      </c>
      <c r="C20" s="95"/>
      <c r="D20" s="95"/>
      <c r="E20" s="95"/>
    </row>
    <row r="21" spans="2:7" x14ac:dyDescent="0.3">
      <c r="B21" s="28" t="s">
        <v>31</v>
      </c>
      <c r="C21" s="29" t="s">
        <v>32</v>
      </c>
    </row>
    <row r="22" spans="2:7" x14ac:dyDescent="0.3">
      <c r="B22" s="7" t="s">
        <v>131</v>
      </c>
      <c r="C22" s="96">
        <v>7.0000000000000007E-2</v>
      </c>
    </row>
    <row r="23" spans="2:7" x14ac:dyDescent="0.3">
      <c r="B23" s="7" t="s">
        <v>69</v>
      </c>
      <c r="C23" s="97">
        <v>6.5000000000000002E-2</v>
      </c>
    </row>
    <row r="24" spans="2:7" ht="15" thickBot="1" x14ac:dyDescent="0.35">
      <c r="B24" s="280" t="s">
        <v>302</v>
      </c>
      <c r="C24" s="93">
        <v>0.75</v>
      </c>
    </row>
    <row r="25" spans="2:7" ht="15" thickBot="1" x14ac:dyDescent="0.35">
      <c r="B25" s="76" t="s">
        <v>132</v>
      </c>
      <c r="C25" s="100">
        <f>C22+C24*C23</f>
        <v>0.11875000000000001</v>
      </c>
    </row>
    <row r="26" spans="2:7" x14ac:dyDescent="0.3">
      <c r="B26" s="12" t="s">
        <v>133</v>
      </c>
      <c r="C26" s="98">
        <v>0.08</v>
      </c>
    </row>
    <row r="27" spans="2:7" x14ac:dyDescent="0.3">
      <c r="B27" s="12" t="s">
        <v>33</v>
      </c>
      <c r="C27" s="98">
        <v>0.25</v>
      </c>
    </row>
    <row r="28" spans="2:7" x14ac:dyDescent="0.3">
      <c r="B28" s="7" t="s">
        <v>73</v>
      </c>
      <c r="C28" s="96">
        <v>0.1</v>
      </c>
    </row>
    <row r="29" spans="2:7" ht="15" thickBot="1" x14ac:dyDescent="0.35">
      <c r="B29" s="91" t="s">
        <v>74</v>
      </c>
      <c r="C29" s="99">
        <v>0.9</v>
      </c>
    </row>
    <row r="30" spans="2:7" ht="15" thickBot="1" x14ac:dyDescent="0.35">
      <c r="B30" s="76" t="s">
        <v>75</v>
      </c>
      <c r="C30" s="100">
        <f>(C29*C25)+(C28*C26*(1-C27))</f>
        <v>0.11287500000000002</v>
      </c>
      <c r="F30" s="21"/>
      <c r="G30" s="21"/>
    </row>
    <row r="31" spans="2:7" x14ac:dyDescent="0.3">
      <c r="F31" s="23"/>
      <c r="G31" s="22"/>
    </row>
    <row r="33" spans="2:5" ht="16.2" thickBot="1" x14ac:dyDescent="0.35">
      <c r="B33" s="356" t="s">
        <v>129</v>
      </c>
      <c r="C33" s="356"/>
      <c r="D33" s="356"/>
      <c r="E33" s="356"/>
    </row>
    <row r="34" spans="2:5" x14ac:dyDescent="0.3">
      <c r="B34" s="28" t="s">
        <v>31</v>
      </c>
      <c r="C34" s="29" t="s">
        <v>32</v>
      </c>
    </row>
    <row r="35" spans="2:5" x14ac:dyDescent="0.3">
      <c r="B35" s="7" t="s">
        <v>142</v>
      </c>
      <c r="C35" s="103">
        <v>2.1999999999999999E-2</v>
      </c>
    </row>
    <row r="36" spans="2:5" x14ac:dyDescent="0.3">
      <c r="B36" s="7" t="s">
        <v>34</v>
      </c>
      <c r="C36" s="32">
        <v>0.03</v>
      </c>
    </row>
    <row r="37" spans="2:5" x14ac:dyDescent="0.3">
      <c r="B37" s="91" t="s">
        <v>35</v>
      </c>
      <c r="C37" s="92">
        <v>0.02</v>
      </c>
    </row>
    <row r="38" spans="2:5" ht="15" thickBot="1" x14ac:dyDescent="0.35">
      <c r="B38" s="8" t="s">
        <v>80</v>
      </c>
      <c r="C38" s="33">
        <v>0.04</v>
      </c>
    </row>
    <row r="41" spans="2:5" ht="16.2" thickBot="1" x14ac:dyDescent="0.35">
      <c r="B41" s="356" t="s">
        <v>130</v>
      </c>
      <c r="C41" s="356"/>
      <c r="D41" s="356"/>
      <c r="E41" s="356"/>
    </row>
    <row r="42" spans="2:5" x14ac:dyDescent="0.3">
      <c r="B42" s="28" t="s">
        <v>0</v>
      </c>
      <c r="C42" s="29" t="s">
        <v>36</v>
      </c>
      <c r="D42" s="21"/>
      <c r="E42" s="21"/>
    </row>
    <row r="43" spans="2:5" x14ac:dyDescent="0.3">
      <c r="B43" s="26">
        <v>2026</v>
      </c>
      <c r="C43" s="36">
        <v>7.8E-2</v>
      </c>
      <c r="D43" s="22"/>
      <c r="E43" s="22"/>
    </row>
    <row r="44" spans="2:5" x14ac:dyDescent="0.3">
      <c r="B44" s="26">
        <v>2027</v>
      </c>
      <c r="C44" s="37">
        <v>8.7999999999999995E-2</v>
      </c>
    </row>
    <row r="45" spans="2:5" x14ac:dyDescent="0.3">
      <c r="B45" s="26">
        <v>2028</v>
      </c>
      <c r="C45" s="37">
        <v>9.8000000000000004E-2</v>
      </c>
    </row>
    <row r="46" spans="2:5" x14ac:dyDescent="0.3">
      <c r="B46" s="26">
        <v>2029</v>
      </c>
      <c r="C46" s="37">
        <v>0.108</v>
      </c>
    </row>
    <row r="47" spans="2:5" ht="15" thickBot="1" x14ac:dyDescent="0.35">
      <c r="B47" s="27">
        <v>2030</v>
      </c>
      <c r="C47" s="38">
        <v>0.115</v>
      </c>
    </row>
    <row r="50" spans="2:4" x14ac:dyDescent="0.3">
      <c r="B50" s="357" t="s">
        <v>161</v>
      </c>
      <c r="C50" s="357"/>
      <c r="D50" s="357"/>
    </row>
    <row r="51" spans="2:4" x14ac:dyDescent="0.3">
      <c r="B51" s="316" t="s">
        <v>31</v>
      </c>
      <c r="C51" s="316" t="s">
        <v>104</v>
      </c>
      <c r="D51" s="316" t="s">
        <v>105</v>
      </c>
    </row>
    <row r="52" spans="2:4" x14ac:dyDescent="0.3">
      <c r="B52" s="6" t="s">
        <v>15</v>
      </c>
      <c r="C52" s="90">
        <v>0.03</v>
      </c>
      <c r="D52" s="157">
        <v>7.4999999999999997E-2</v>
      </c>
    </row>
    <row r="53" spans="2:4" x14ac:dyDescent="0.3">
      <c r="B53" s="6" t="s">
        <v>29</v>
      </c>
      <c r="C53" s="90">
        <v>0.08</v>
      </c>
      <c r="D53" s="158">
        <v>0.13</v>
      </c>
    </row>
    <row r="54" spans="2:4" x14ac:dyDescent="0.3">
      <c r="B54" s="6" t="s">
        <v>106</v>
      </c>
      <c r="C54" s="90">
        <v>0.03</v>
      </c>
      <c r="D54" s="159">
        <v>4.7500000000000001E-2</v>
      </c>
    </row>
    <row r="57" spans="2:4" x14ac:dyDescent="0.3">
      <c r="B57" s="94" t="s">
        <v>141</v>
      </c>
      <c r="C57" s="95"/>
      <c r="D57" s="95"/>
    </row>
    <row r="58" spans="2:4" x14ac:dyDescent="0.3">
      <c r="B58" s="49" t="s">
        <v>31</v>
      </c>
      <c r="C58" s="49" t="s">
        <v>32</v>
      </c>
      <c r="D58" s="49" t="s">
        <v>134</v>
      </c>
    </row>
    <row r="59" spans="2:4" x14ac:dyDescent="0.3">
      <c r="B59" s="48" t="s">
        <v>68</v>
      </c>
      <c r="C59" s="101">
        <v>7.0000000000000007E-2</v>
      </c>
      <c r="D59" s="84" t="s">
        <v>135</v>
      </c>
    </row>
    <row r="60" spans="2:4" x14ac:dyDescent="0.3">
      <c r="B60" s="48" t="s">
        <v>69</v>
      </c>
      <c r="C60" s="101">
        <v>6.5000000000000002E-2</v>
      </c>
      <c r="D60" s="84" t="s">
        <v>136</v>
      </c>
    </row>
    <row r="61" spans="2:4" x14ac:dyDescent="0.3">
      <c r="B61" s="48" t="s">
        <v>70</v>
      </c>
      <c r="C61" s="48">
        <v>0.75</v>
      </c>
      <c r="D61" s="84" t="s">
        <v>137</v>
      </c>
    </row>
    <row r="62" spans="2:4" x14ac:dyDescent="0.3">
      <c r="B62" s="48" t="s">
        <v>138</v>
      </c>
      <c r="C62" s="102">
        <v>0.03</v>
      </c>
      <c r="D62" s="84" t="s">
        <v>139</v>
      </c>
    </row>
    <row r="63" spans="2:4" x14ac:dyDescent="0.3">
      <c r="B63" s="48" t="s">
        <v>140</v>
      </c>
      <c r="C63" s="102">
        <v>0.02</v>
      </c>
      <c r="D63" s="84" t="s">
        <v>139</v>
      </c>
    </row>
  </sheetData>
  <mergeCells count="6">
    <mergeCell ref="A1:K1"/>
    <mergeCell ref="B41:E41"/>
    <mergeCell ref="B50:D50"/>
    <mergeCell ref="B4:E4"/>
    <mergeCell ref="B12:E12"/>
    <mergeCell ref="B33:E3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B9F4E-443A-4EF1-BD64-7E69E82F1DCD}">
  <dimension ref="B1:S37"/>
  <sheetViews>
    <sheetView showGridLines="0" zoomScale="90" zoomScaleNormal="90" workbookViewId="0">
      <selection activeCell="F3" sqref="F3"/>
    </sheetView>
  </sheetViews>
  <sheetFormatPr defaultRowHeight="14.4" x14ac:dyDescent="0.3"/>
  <cols>
    <col min="2" max="2" width="15.44140625" bestFit="1" customWidth="1"/>
    <col min="3" max="7" width="10.44140625" bestFit="1" customWidth="1"/>
    <col min="8" max="8" width="11.44140625" bestFit="1" customWidth="1"/>
    <col min="14" max="14" width="8.5546875" bestFit="1" customWidth="1"/>
    <col min="20" max="20" width="10.5546875" customWidth="1"/>
  </cols>
  <sheetData>
    <row r="1" spans="2:19" ht="21" x14ac:dyDescent="0.4">
      <c r="B1" s="351" t="s">
        <v>337</v>
      </c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</row>
    <row r="4" spans="2:19" x14ac:dyDescent="0.3">
      <c r="J4" s="359" t="s">
        <v>61</v>
      </c>
      <c r="K4" s="359"/>
      <c r="L4" s="359"/>
      <c r="M4">
        <f>75323/82957</f>
        <v>0.90797642151958247</v>
      </c>
    </row>
    <row r="5" spans="2:19" ht="18" x14ac:dyDescent="0.35">
      <c r="B5" s="360" t="s">
        <v>52</v>
      </c>
      <c r="C5" s="360"/>
      <c r="D5" s="360"/>
      <c r="H5" s="53" t="s">
        <v>48</v>
      </c>
    </row>
    <row r="6" spans="2:19" ht="16.2" thickBot="1" x14ac:dyDescent="0.35">
      <c r="B6" s="51" t="s">
        <v>10</v>
      </c>
      <c r="C6" s="51">
        <v>2025</v>
      </c>
      <c r="D6" s="52">
        <v>2026</v>
      </c>
      <c r="E6" s="52">
        <v>2027</v>
      </c>
      <c r="F6" s="52">
        <v>2028</v>
      </c>
      <c r="G6" s="52">
        <v>2029</v>
      </c>
      <c r="H6" s="52">
        <v>2030</v>
      </c>
      <c r="J6" s="253" t="s">
        <v>41</v>
      </c>
      <c r="K6" s="255"/>
      <c r="L6" s="255"/>
      <c r="M6" s="255"/>
      <c r="N6" s="255"/>
      <c r="O6" s="255"/>
      <c r="P6" s="255"/>
      <c r="Q6" s="255"/>
      <c r="R6" s="255"/>
      <c r="S6" s="256"/>
    </row>
    <row r="7" spans="2:19" x14ac:dyDescent="0.3">
      <c r="B7" s="50" t="s">
        <v>15</v>
      </c>
      <c r="C7" s="300">
        <f>ROUND(Segment_Analysis!$C4*Forecast_Model!$M$4, 0)</f>
        <v>29628</v>
      </c>
      <c r="D7" s="303">
        <f>ROUND(C7*(1+Assumptions!$C6),0)</f>
        <v>31109</v>
      </c>
      <c r="E7" s="303">
        <f>ROUND(D7*(1+Assumptions!$C6),0)</f>
        <v>32664</v>
      </c>
      <c r="F7" s="303">
        <f>ROUND(E7*(1+Assumptions!$C6),0)</f>
        <v>34297</v>
      </c>
      <c r="G7" s="303">
        <f>ROUND(F7*(1+Assumptions!$C6),0)</f>
        <v>36012</v>
      </c>
      <c r="H7" s="303">
        <f>ROUND(G7*(1+Assumptions!$C6),0)</f>
        <v>37813</v>
      </c>
      <c r="J7" s="257" t="s">
        <v>58</v>
      </c>
      <c r="K7" s="262"/>
      <c r="L7" s="262"/>
      <c r="M7" s="262"/>
      <c r="N7" s="262"/>
      <c r="O7" s="262"/>
      <c r="P7" s="262"/>
      <c r="Q7" s="262"/>
      <c r="R7" s="262"/>
      <c r="S7" s="263"/>
    </row>
    <row r="8" spans="2:19" x14ac:dyDescent="0.3">
      <c r="B8" s="48" t="s">
        <v>29</v>
      </c>
      <c r="C8" s="284">
        <f>ROUND(Segment_Analysis!$C5*Forecast_Model!$M$4, 0)</f>
        <v>19959</v>
      </c>
      <c r="D8" s="211">
        <f>ROUND(C8*(1+Assumptions!$C7),0)</f>
        <v>22154</v>
      </c>
      <c r="E8" s="211">
        <f>ROUND(D8*(1+Assumptions!$C7),0)</f>
        <v>24591</v>
      </c>
      <c r="F8" s="211">
        <f>ROUND(E8*(1+Assumptions!$C7),0)</f>
        <v>27296</v>
      </c>
      <c r="G8" s="211">
        <f>ROUND(F8*(1+Assumptions!$C7),0)</f>
        <v>30299</v>
      </c>
      <c r="H8" s="211">
        <f>ROUND(G8*(1+Assumptions!C7),0)</f>
        <v>33632</v>
      </c>
      <c r="J8" s="257" t="s">
        <v>59</v>
      </c>
      <c r="K8" s="262"/>
      <c r="L8" s="262"/>
      <c r="M8" s="262"/>
      <c r="N8" s="262"/>
      <c r="O8" s="262"/>
      <c r="P8" s="267"/>
      <c r="Q8" s="262"/>
      <c r="R8" s="262"/>
      <c r="S8" s="263"/>
    </row>
    <row r="9" spans="2:19" x14ac:dyDescent="0.3">
      <c r="B9" s="48" t="s">
        <v>16</v>
      </c>
      <c r="C9" s="284">
        <f>ROUND(Segment_Analysis!$C6*Forecast_Model!$M$4, 0)</f>
        <v>17936</v>
      </c>
      <c r="D9" s="211">
        <f>ROUND(C9*(1+Assumptions!$C8),0)</f>
        <v>19192</v>
      </c>
      <c r="E9" s="211">
        <f>ROUND(D9*(1+Assumptions!$C8),0)</f>
        <v>20535</v>
      </c>
      <c r="F9" s="211">
        <f>ROUND(E9*(1+Assumptions!$C8),0)</f>
        <v>21972</v>
      </c>
      <c r="G9" s="211">
        <f>ROUND(F9*(1+Assumptions!$C8),0)</f>
        <v>23510</v>
      </c>
      <c r="H9" s="211">
        <f>ROUND(G9*(1+Assumptions!C8),0)</f>
        <v>25156</v>
      </c>
      <c r="J9" s="257" t="s">
        <v>308</v>
      </c>
      <c r="K9" s="262"/>
      <c r="L9" s="262"/>
      <c r="M9" s="262"/>
      <c r="N9" s="262"/>
      <c r="O9" s="262"/>
      <c r="P9" s="267"/>
      <c r="Q9" s="262"/>
      <c r="R9" s="262"/>
      <c r="S9" s="263"/>
    </row>
    <row r="10" spans="2:19" x14ac:dyDescent="0.3">
      <c r="B10" s="48" t="s">
        <v>17</v>
      </c>
      <c r="C10" s="284">
        <f>ROUND(Segment_Analysis!$C7*Forecast_Model!$M$4, 0)</f>
        <v>7648</v>
      </c>
      <c r="D10" s="211">
        <f>ROUND(C10*(1+Assumptions!$C9),0)</f>
        <v>7954</v>
      </c>
      <c r="E10" s="211">
        <f>ROUND(D10*(1+Assumptions!$C9),0)</f>
        <v>8272</v>
      </c>
      <c r="F10" s="211">
        <f>ROUND(E10*(1+Assumptions!$C9),0)</f>
        <v>8603</v>
      </c>
      <c r="G10" s="211">
        <f>ROUND(F10*(1+Assumptions!$C9),0)</f>
        <v>8947</v>
      </c>
      <c r="H10" s="211">
        <f>ROUND(G10*(1+Assumptions!C9),0)</f>
        <v>9305</v>
      </c>
      <c r="J10" s="257" t="s">
        <v>63</v>
      </c>
      <c r="K10" s="262"/>
      <c r="L10" s="262"/>
      <c r="M10" s="262"/>
      <c r="N10" s="262"/>
      <c r="O10" s="262"/>
      <c r="P10" s="267"/>
      <c r="Q10" s="262"/>
      <c r="R10" s="262"/>
      <c r="S10" s="263"/>
    </row>
    <row r="11" spans="2:19" ht="15" thickBot="1" x14ac:dyDescent="0.35">
      <c r="B11" s="54" t="s">
        <v>45</v>
      </c>
      <c r="C11" s="301">
        <f>ROUND(Segment_Analysis!$C8*Forecast_Model!$M$4, 0)</f>
        <v>152</v>
      </c>
      <c r="D11" s="304">
        <f>ROUND(C11*(1+Assumptions!$C10),0)</f>
        <v>152</v>
      </c>
      <c r="E11" s="304">
        <f>ROUND(D11*(1+Assumptions!$C10),0)</f>
        <v>152</v>
      </c>
      <c r="F11" s="304">
        <f>ROUND(E11*(1+Assumptions!$C10),0)</f>
        <v>152</v>
      </c>
      <c r="G11" s="304">
        <f>ROUND(F11*(1+Assumptions!$C10),0)</f>
        <v>152</v>
      </c>
      <c r="H11" s="304">
        <f>ROUND(G11*(1+Assumptions!C10),0)</f>
        <v>152</v>
      </c>
      <c r="J11" s="257" t="s">
        <v>307</v>
      </c>
      <c r="K11" s="262"/>
      <c r="L11" s="262"/>
      <c r="M11" s="262"/>
      <c r="N11" s="262"/>
      <c r="O11" s="262"/>
      <c r="P11" s="267"/>
      <c r="Q11" s="262"/>
      <c r="R11" s="262"/>
      <c r="S11" s="263"/>
    </row>
    <row r="12" spans="2:19" ht="15" thickBot="1" x14ac:dyDescent="0.35">
      <c r="B12" s="55" t="s">
        <v>21</v>
      </c>
      <c r="C12" s="298">
        <f>SUM(C7:C11)</f>
        <v>75323</v>
      </c>
      <c r="D12" s="305">
        <f>SUM(D7:D11)</f>
        <v>80561</v>
      </c>
      <c r="E12" s="305">
        <f>SUM(E7:E11)</f>
        <v>86214</v>
      </c>
      <c r="F12" s="305">
        <f t="shared" ref="F12:H12" si="0">SUM(F7:F11)</f>
        <v>92320</v>
      </c>
      <c r="G12" s="305">
        <f t="shared" si="0"/>
        <v>98920</v>
      </c>
      <c r="H12" s="306">
        <f t="shared" si="0"/>
        <v>106058</v>
      </c>
      <c r="J12" s="257" t="s">
        <v>60</v>
      </c>
      <c r="K12" s="262"/>
      <c r="L12" s="262"/>
      <c r="M12" s="262"/>
      <c r="N12" s="262"/>
      <c r="O12" s="262"/>
      <c r="P12" s="262"/>
      <c r="Q12" s="262"/>
      <c r="R12" s="262"/>
      <c r="S12" s="263"/>
    </row>
    <row r="13" spans="2:19" x14ac:dyDescent="0.3">
      <c r="J13" s="257" t="s">
        <v>306</v>
      </c>
      <c r="K13" s="262"/>
      <c r="L13" s="262"/>
      <c r="M13" s="262"/>
      <c r="N13" s="262"/>
      <c r="O13" s="262"/>
      <c r="P13" s="262"/>
      <c r="Q13" s="262"/>
      <c r="R13" s="262"/>
      <c r="S13" s="263"/>
    </row>
    <row r="14" spans="2:19" x14ac:dyDescent="0.3">
      <c r="J14" s="257" t="s">
        <v>305</v>
      </c>
      <c r="K14" s="262"/>
      <c r="L14" s="262"/>
      <c r="M14" s="262"/>
      <c r="N14" s="262"/>
      <c r="O14" s="262"/>
      <c r="P14" s="262"/>
      <c r="Q14" s="262"/>
      <c r="R14" s="262"/>
      <c r="S14" s="263"/>
    </row>
    <row r="15" spans="2:19" ht="18" x14ac:dyDescent="0.35">
      <c r="B15" s="360" t="s">
        <v>53</v>
      </c>
      <c r="C15" s="360"/>
      <c r="D15" s="360"/>
      <c r="H15" s="53" t="s">
        <v>48</v>
      </c>
      <c r="J15" s="257" t="s">
        <v>303</v>
      </c>
      <c r="K15" s="262"/>
      <c r="L15" s="262"/>
      <c r="M15" s="262"/>
      <c r="N15" s="262"/>
      <c r="O15" s="262"/>
      <c r="P15" s="262"/>
      <c r="Q15" s="262"/>
      <c r="R15" s="262"/>
      <c r="S15" s="263"/>
    </row>
    <row r="16" spans="2:19" ht="15" thickBot="1" x14ac:dyDescent="0.35">
      <c r="B16" s="51" t="s">
        <v>10</v>
      </c>
      <c r="C16" s="51">
        <v>2025</v>
      </c>
      <c r="D16" s="51">
        <v>2026</v>
      </c>
      <c r="E16" s="51">
        <v>2027</v>
      </c>
      <c r="F16" s="51">
        <v>2028</v>
      </c>
      <c r="G16" s="51">
        <v>2029</v>
      </c>
      <c r="H16" s="51">
        <v>2030</v>
      </c>
      <c r="J16" s="269" t="s">
        <v>304</v>
      </c>
      <c r="K16" s="270"/>
      <c r="L16" s="270"/>
      <c r="M16" s="270"/>
      <c r="N16" s="270"/>
      <c r="O16" s="270"/>
      <c r="P16" s="270"/>
      <c r="Q16" s="270"/>
      <c r="R16" s="270"/>
      <c r="S16" s="271"/>
    </row>
    <row r="17" spans="2:8" x14ac:dyDescent="0.3">
      <c r="B17" s="50" t="s">
        <v>15</v>
      </c>
      <c r="C17" s="300">
        <f>ROUND(C7*Assumptions!$C$14, 0)</f>
        <v>18369</v>
      </c>
      <c r="D17" s="300">
        <f>ROUND(D7*Assumptions!$C$14, 0)</f>
        <v>19288</v>
      </c>
      <c r="E17" s="300">
        <f>ROUND(E7*Assumptions!$C$14, 0)</f>
        <v>20252</v>
      </c>
      <c r="F17" s="300">
        <f>ROUND(F7*Assumptions!$C$14, 0)</f>
        <v>21264</v>
      </c>
      <c r="G17" s="300">
        <f>ROUND(G7*Assumptions!$C$14, 0)</f>
        <v>22327</v>
      </c>
      <c r="H17" s="300">
        <f>ROUND(H7*Assumptions!$C$14, 0)</f>
        <v>23444</v>
      </c>
    </row>
    <row r="18" spans="2:8" x14ac:dyDescent="0.3">
      <c r="B18" s="48" t="s">
        <v>29</v>
      </c>
      <c r="C18" s="284">
        <f>ROUND(C8*Assumptions!$C43, 0)</f>
        <v>1557</v>
      </c>
      <c r="D18" s="284">
        <f>ROUND(D8*Assumptions!C43, 0)</f>
        <v>1728</v>
      </c>
      <c r="E18" s="284">
        <f>ROUND(E8*Assumptions!$C44, 0)</f>
        <v>2164</v>
      </c>
      <c r="F18" s="284">
        <f>ROUND(F8*Assumptions!$C45, 0)</f>
        <v>2675</v>
      </c>
      <c r="G18" s="284">
        <f>ROUND(G8*Assumptions!$C46, 0)</f>
        <v>3272</v>
      </c>
      <c r="H18" s="284">
        <f>ROUND(H8*Assumptions!$C47, 0)</f>
        <v>3868</v>
      </c>
    </row>
    <row r="19" spans="2:8" x14ac:dyDescent="0.3">
      <c r="B19" s="48" t="s">
        <v>16</v>
      </c>
      <c r="C19" s="284">
        <f>ROUND(Forecast_Model!C9*Assumptions!$C$16, 0)</f>
        <v>1256</v>
      </c>
      <c r="D19" s="284">
        <f>ROUND(Forecast_Model!D9*Assumptions!$C$16, 0)</f>
        <v>1343</v>
      </c>
      <c r="E19" s="284">
        <f>ROUND(Forecast_Model!E9*Assumptions!$C$16, 0)</f>
        <v>1437</v>
      </c>
      <c r="F19" s="284">
        <f>ROUND(Forecast_Model!F9*Assumptions!$C$16, 0)</f>
        <v>1538</v>
      </c>
      <c r="G19" s="284">
        <f>ROUND(Forecast_Model!G9*Assumptions!$C$16, 0)</f>
        <v>1646</v>
      </c>
      <c r="H19" s="284">
        <f>ROUND(Forecast_Model!H9*Assumptions!$C$16, 0)</f>
        <v>1761</v>
      </c>
    </row>
    <row r="20" spans="2:8" x14ac:dyDescent="0.3">
      <c r="B20" s="48" t="s">
        <v>17</v>
      </c>
      <c r="C20" s="284">
        <f>ROUND(C10*Assumptions!$C$17,0)</f>
        <v>841</v>
      </c>
      <c r="D20" s="284">
        <f>ROUND(D10*Assumptions!$C$17,0)</f>
        <v>875</v>
      </c>
      <c r="E20" s="284">
        <f>ROUND(E10*Assumptions!$C$17,0)</f>
        <v>910</v>
      </c>
      <c r="F20" s="284">
        <f>ROUND(F10*Assumptions!$C$17,0)</f>
        <v>946</v>
      </c>
      <c r="G20" s="284">
        <f>ROUND(G10*Assumptions!$C$17,0)</f>
        <v>984</v>
      </c>
      <c r="H20" s="284">
        <f>ROUND(H10*Assumptions!$C$17,0)</f>
        <v>1024</v>
      </c>
    </row>
    <row r="21" spans="2:8" x14ac:dyDescent="0.3">
      <c r="B21" s="54" t="s">
        <v>45</v>
      </c>
      <c r="C21" s="301">
        <f t="shared" ref="C21:H21" si="1">ROUND(C11*35%,0)</f>
        <v>53</v>
      </c>
      <c r="D21" s="301">
        <f t="shared" si="1"/>
        <v>53</v>
      </c>
      <c r="E21" s="301">
        <f t="shared" si="1"/>
        <v>53</v>
      </c>
      <c r="F21" s="301">
        <f t="shared" si="1"/>
        <v>53</v>
      </c>
      <c r="G21" s="301">
        <f t="shared" si="1"/>
        <v>53</v>
      </c>
      <c r="H21" s="301">
        <f t="shared" si="1"/>
        <v>53</v>
      </c>
    </row>
    <row r="22" spans="2:8" x14ac:dyDescent="0.3">
      <c r="B22" s="48" t="s">
        <v>163</v>
      </c>
      <c r="C22" s="284">
        <v>3763</v>
      </c>
      <c r="D22" s="284">
        <f>C22*1.04</f>
        <v>3913.52</v>
      </c>
      <c r="E22" s="284">
        <f t="shared" ref="E22:H22" si="2">D22*1.04</f>
        <v>4070.0608000000002</v>
      </c>
      <c r="F22" s="284">
        <f t="shared" si="2"/>
        <v>4232.8632320000006</v>
      </c>
      <c r="G22" s="284">
        <f t="shared" si="2"/>
        <v>4402.1777612800006</v>
      </c>
      <c r="H22" s="284">
        <f t="shared" si="2"/>
        <v>4578.2648717312004</v>
      </c>
    </row>
    <row r="23" spans="2:8" ht="15" thickBot="1" x14ac:dyDescent="0.35">
      <c r="B23" s="160" t="s">
        <v>49</v>
      </c>
      <c r="C23" s="302">
        <f>SUM(C17:C22)</f>
        <v>25839</v>
      </c>
      <c r="D23" s="302">
        <f t="shared" ref="D23:H23" si="3">SUM(D17:D22)</f>
        <v>27200.52</v>
      </c>
      <c r="E23" s="302">
        <f t="shared" si="3"/>
        <v>28886.060799999999</v>
      </c>
      <c r="F23" s="302">
        <f t="shared" si="3"/>
        <v>30708.863232</v>
      </c>
      <c r="G23" s="302">
        <f t="shared" si="3"/>
        <v>32684.17776128</v>
      </c>
      <c r="H23" s="302">
        <f t="shared" si="3"/>
        <v>34728.264871731197</v>
      </c>
    </row>
    <row r="24" spans="2:8" ht="15" thickBot="1" x14ac:dyDescent="0.35"/>
    <row r="25" spans="2:8" ht="15" thickBot="1" x14ac:dyDescent="0.35">
      <c r="B25" s="56" t="s">
        <v>8</v>
      </c>
      <c r="C25" s="63">
        <f t="shared" ref="C25:H25" si="4">C23/C12</f>
        <v>0.34304262974124772</v>
      </c>
      <c r="D25" s="63">
        <f t="shared" si="4"/>
        <v>0.33763880785988259</v>
      </c>
      <c r="E25" s="63">
        <f t="shared" si="4"/>
        <v>0.33505069710255875</v>
      </c>
      <c r="F25" s="63">
        <f t="shared" si="4"/>
        <v>0.33263500034662047</v>
      </c>
      <c r="G25" s="63">
        <f t="shared" si="4"/>
        <v>0.33041020785766273</v>
      </c>
      <c r="H25" s="64">
        <f t="shared" si="4"/>
        <v>0.32744597174877138</v>
      </c>
    </row>
    <row r="28" spans="2:8" ht="18" x14ac:dyDescent="0.35">
      <c r="B28" s="360" t="s">
        <v>54</v>
      </c>
      <c r="C28" s="360"/>
      <c r="D28" s="360"/>
      <c r="H28" s="53" t="s">
        <v>48</v>
      </c>
    </row>
    <row r="29" spans="2:8" ht="15.6" x14ac:dyDescent="0.3">
      <c r="B29" s="61" t="s">
        <v>65</v>
      </c>
      <c r="C29" s="58" t="s">
        <v>66</v>
      </c>
      <c r="D29" s="59" t="s">
        <v>64</v>
      </c>
      <c r="E29" s="60" t="s">
        <v>64</v>
      </c>
      <c r="F29" s="60" t="s">
        <v>64</v>
      </c>
      <c r="G29" s="60" t="s">
        <v>64</v>
      </c>
      <c r="H29" s="60" t="s">
        <v>64</v>
      </c>
    </row>
    <row r="30" spans="2:8" ht="15" thickBot="1" x14ac:dyDescent="0.35">
      <c r="B30" s="51" t="s">
        <v>0</v>
      </c>
      <c r="C30" s="62">
        <v>2025</v>
      </c>
      <c r="D30" s="57">
        <v>2026</v>
      </c>
      <c r="E30" s="49">
        <v>2027</v>
      </c>
      <c r="F30" s="49">
        <v>2028</v>
      </c>
      <c r="G30" s="49">
        <v>2029</v>
      </c>
      <c r="H30" s="49">
        <v>2030</v>
      </c>
    </row>
    <row r="31" spans="2:8" x14ac:dyDescent="0.3">
      <c r="B31" s="50" t="s">
        <v>50</v>
      </c>
      <c r="C31" s="282">
        <f>Historical_Financials!C8</f>
        <v>75323.34</v>
      </c>
      <c r="D31" s="283">
        <f>D12</f>
        <v>80561</v>
      </c>
      <c r="E31" s="284">
        <f>E12</f>
        <v>86214</v>
      </c>
      <c r="F31" s="284">
        <f>F12</f>
        <v>92320</v>
      </c>
      <c r="G31" s="284">
        <f>G12</f>
        <v>98920</v>
      </c>
      <c r="H31" s="284">
        <f>H12</f>
        <v>106058</v>
      </c>
    </row>
    <row r="32" spans="2:8" x14ac:dyDescent="0.3">
      <c r="B32" s="48" t="s">
        <v>49</v>
      </c>
      <c r="C32" s="285">
        <f>Historical_Financials!D8</f>
        <v>25839.45</v>
      </c>
      <c r="D32" s="286">
        <f>D23</f>
        <v>27200.52</v>
      </c>
      <c r="E32" s="284">
        <f>E23</f>
        <v>28886.060799999999</v>
      </c>
      <c r="F32" s="284">
        <f>F23</f>
        <v>30708.863232</v>
      </c>
      <c r="G32" s="284">
        <f>G23</f>
        <v>32684.17776128</v>
      </c>
      <c r="H32" s="287">
        <f>H23</f>
        <v>34728.264871731197</v>
      </c>
    </row>
    <row r="33" spans="2:8" x14ac:dyDescent="0.3">
      <c r="B33" s="48" t="s">
        <v>51</v>
      </c>
      <c r="C33" s="285">
        <f>C32*(1-Assumptions!C27)</f>
        <v>19379.587500000001</v>
      </c>
      <c r="D33" s="286">
        <f>D32*(1-Assumptions!C27)</f>
        <v>20400.39</v>
      </c>
      <c r="E33" s="284">
        <f>E32*(1-Assumptions!C27)</f>
        <v>21664.545599999998</v>
      </c>
      <c r="F33" s="284">
        <f>F32*(1-Assumptions!C27)</f>
        <v>23031.647423999999</v>
      </c>
      <c r="G33" s="284">
        <f>G32*(1-Assumptions!C27)</f>
        <v>24513.133320959998</v>
      </c>
      <c r="H33" s="287">
        <f>H32*(1-Assumptions!C27)</f>
        <v>26046.198653798398</v>
      </c>
    </row>
    <row r="34" spans="2:8" x14ac:dyDescent="0.3">
      <c r="B34" s="48" t="s">
        <v>56</v>
      </c>
      <c r="C34" s="288">
        <f>Historical_Financials!E8</f>
        <v>1646.32</v>
      </c>
      <c r="D34" s="289">
        <f>D31*Assumptions!$C$35</f>
        <v>1772.3419999999999</v>
      </c>
      <c r="E34" s="290">
        <f>E31*Assumptions!$C$35</f>
        <v>1896.7079999999999</v>
      </c>
      <c r="F34" s="290">
        <f>F31*Assumptions!$C$35</f>
        <v>2031.04</v>
      </c>
      <c r="G34" s="290">
        <f>G31*Assumptions!$C$35</f>
        <v>2176.2399999999998</v>
      </c>
      <c r="H34" s="291">
        <f>H31*Assumptions!$C$35</f>
        <v>2333.2759999999998</v>
      </c>
    </row>
    <row r="35" spans="2:8" x14ac:dyDescent="0.3">
      <c r="B35" s="48" t="s">
        <v>55</v>
      </c>
      <c r="C35" s="288">
        <f>Historical_Financials!K8</f>
        <v>2259.7001999999998</v>
      </c>
      <c r="D35" s="292">
        <f>D31*Assumptions!$C$36</f>
        <v>2416.83</v>
      </c>
      <c r="E35" s="290">
        <f>E31*Assumptions!$C$36</f>
        <v>2586.42</v>
      </c>
      <c r="F35" s="290">
        <f>F31*Assumptions!$C$36</f>
        <v>2769.6</v>
      </c>
      <c r="G35" s="290">
        <f>G31*Assumptions!$C$36</f>
        <v>2967.6</v>
      </c>
      <c r="H35" s="290">
        <f>H31*Assumptions!$C$36</f>
        <v>3181.74</v>
      </c>
    </row>
    <row r="36" spans="2:8" ht="15" thickBot="1" x14ac:dyDescent="0.35">
      <c r="B36" s="54" t="s">
        <v>57</v>
      </c>
      <c r="C36" s="293">
        <f>Historical_Financials!L8</f>
        <v>1506.4667999999999</v>
      </c>
      <c r="D36" s="294">
        <f>(D31-C31)*Assumptions!$C$37</f>
        <v>104.75320000000008</v>
      </c>
      <c r="E36" s="295">
        <f>(E31-D31)*Assumptions!$C$37</f>
        <v>113.06</v>
      </c>
      <c r="F36" s="295">
        <f>(F31-E31)*Assumptions!$C$37</f>
        <v>122.12</v>
      </c>
      <c r="G36" s="295">
        <f>(G31-F31)*Assumptions!$C$37</f>
        <v>132</v>
      </c>
      <c r="H36" s="295">
        <f>(H31-G31)*Assumptions!$C$37</f>
        <v>142.76</v>
      </c>
    </row>
    <row r="37" spans="2:8" ht="15" thickBot="1" x14ac:dyDescent="0.35">
      <c r="B37" s="55" t="s">
        <v>7</v>
      </c>
      <c r="C37" s="296">
        <f>ROUND(C33+C34-C35-C36,0)</f>
        <v>17260</v>
      </c>
      <c r="D37" s="297">
        <f t="shared" ref="D37:H37" si="5">ROUND(D33+D34-D35-D36,0)</f>
        <v>19651</v>
      </c>
      <c r="E37" s="298">
        <f t="shared" si="5"/>
        <v>20862</v>
      </c>
      <c r="F37" s="298">
        <f t="shared" si="5"/>
        <v>22171</v>
      </c>
      <c r="G37" s="298">
        <f t="shared" si="5"/>
        <v>23590</v>
      </c>
      <c r="H37" s="299">
        <f t="shared" si="5"/>
        <v>25055</v>
      </c>
    </row>
  </sheetData>
  <mergeCells count="5">
    <mergeCell ref="J4:L4"/>
    <mergeCell ref="B5:D5"/>
    <mergeCell ref="B15:D15"/>
    <mergeCell ref="B28:D28"/>
    <mergeCell ref="B1:S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8DE43-F383-47D4-9143-FFA7F7393554}">
  <dimension ref="B1:Q53"/>
  <sheetViews>
    <sheetView showGridLines="0" zoomScaleNormal="100" workbookViewId="0">
      <selection activeCell="E8" sqref="E8"/>
    </sheetView>
  </sheetViews>
  <sheetFormatPr defaultRowHeight="14.4" x14ac:dyDescent="0.3"/>
  <cols>
    <col min="2" max="2" width="23.5546875" bestFit="1" customWidth="1"/>
    <col min="3" max="3" width="11.33203125" bestFit="1" customWidth="1"/>
    <col min="4" max="4" width="14.77734375" bestFit="1" customWidth="1"/>
    <col min="5" max="5" width="12" customWidth="1"/>
    <col min="9" max="9" width="10.21875" customWidth="1"/>
    <col min="14" max="14" width="10.77734375" customWidth="1"/>
    <col min="16" max="16" width="10.109375" customWidth="1"/>
  </cols>
  <sheetData>
    <row r="1" spans="2:17" ht="21" x14ac:dyDescent="0.4">
      <c r="B1" s="351" t="s">
        <v>338</v>
      </c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</row>
    <row r="3" spans="2:17" ht="15.6" x14ac:dyDescent="0.3">
      <c r="B3" s="5" t="s">
        <v>67</v>
      </c>
      <c r="H3" s="327" t="s">
        <v>41</v>
      </c>
      <c r="I3" s="189"/>
      <c r="J3" s="189"/>
      <c r="K3" s="189"/>
      <c r="L3" s="189"/>
      <c r="M3" s="189"/>
      <c r="N3" s="189"/>
      <c r="O3" s="189"/>
      <c r="P3" s="189"/>
      <c r="Q3" s="190"/>
    </row>
    <row r="4" spans="2:17" x14ac:dyDescent="0.3">
      <c r="B4" s="314" t="s">
        <v>31</v>
      </c>
      <c r="C4" s="314" t="s">
        <v>32</v>
      </c>
      <c r="H4" s="191" t="s">
        <v>100</v>
      </c>
      <c r="I4" s="328"/>
      <c r="J4" s="328"/>
      <c r="K4" s="328"/>
      <c r="L4" s="328"/>
      <c r="M4" s="328"/>
      <c r="N4" s="328"/>
      <c r="O4" s="328"/>
      <c r="P4" s="328"/>
      <c r="Q4" s="192"/>
    </row>
    <row r="5" spans="2:17" x14ac:dyDescent="0.3">
      <c r="B5" s="80" t="s">
        <v>68</v>
      </c>
      <c r="C5" s="307">
        <f>Assumptions!C22</f>
        <v>7.0000000000000007E-2</v>
      </c>
      <c r="H5" s="191" t="s">
        <v>148</v>
      </c>
      <c r="I5" s="328"/>
      <c r="J5" s="328"/>
      <c r="K5" s="328"/>
      <c r="L5" s="328"/>
      <c r="M5" s="328"/>
      <c r="N5" s="328"/>
      <c r="O5" s="328"/>
      <c r="P5" s="328"/>
      <c r="Q5" s="192"/>
    </row>
    <row r="6" spans="2:17" x14ac:dyDescent="0.3">
      <c r="B6" s="80" t="s">
        <v>69</v>
      </c>
      <c r="C6" s="307">
        <f>Assumptions!C23</f>
        <v>6.5000000000000002E-2</v>
      </c>
      <c r="H6" s="191" t="s">
        <v>101</v>
      </c>
      <c r="I6" s="328"/>
      <c r="J6" s="328"/>
      <c r="K6" s="328"/>
      <c r="L6" s="328"/>
      <c r="M6" s="328"/>
      <c r="N6" s="328"/>
      <c r="O6" s="328"/>
      <c r="P6" s="328"/>
      <c r="Q6" s="192"/>
    </row>
    <row r="7" spans="2:17" ht="15" thickBot="1" x14ac:dyDescent="0.35">
      <c r="B7" s="81" t="s">
        <v>70</v>
      </c>
      <c r="C7" s="308">
        <f>Assumptions!C24</f>
        <v>0.75</v>
      </c>
      <c r="H7" s="191" t="s">
        <v>102</v>
      </c>
      <c r="I7" s="328"/>
      <c r="J7" s="328"/>
      <c r="K7" s="328"/>
      <c r="L7" s="328"/>
      <c r="M7" s="328"/>
      <c r="N7" s="328"/>
      <c r="O7" s="328"/>
      <c r="P7" s="328"/>
      <c r="Q7" s="192"/>
    </row>
    <row r="8" spans="2:17" ht="15" thickBot="1" x14ac:dyDescent="0.35">
      <c r="B8" s="69" t="s">
        <v>71</v>
      </c>
      <c r="C8" s="207">
        <f>C5+C7*C6</f>
        <v>0.11875000000000001</v>
      </c>
      <c r="H8" s="191" t="s">
        <v>316</v>
      </c>
      <c r="I8" s="328"/>
      <c r="J8" s="328"/>
      <c r="K8" s="328"/>
      <c r="L8" s="328"/>
      <c r="M8" s="328"/>
      <c r="N8" s="328"/>
      <c r="O8" s="328"/>
      <c r="P8" s="328"/>
      <c r="Q8" s="192"/>
    </row>
    <row r="9" spans="2:17" x14ac:dyDescent="0.3">
      <c r="B9" s="82" t="s">
        <v>72</v>
      </c>
      <c r="C9" s="309">
        <f>Assumptions!C26</f>
        <v>0.08</v>
      </c>
      <c r="H9" s="191" t="s">
        <v>311</v>
      </c>
      <c r="I9" s="328"/>
      <c r="J9" s="328"/>
      <c r="K9" s="328"/>
      <c r="L9" s="328"/>
      <c r="M9" s="328"/>
      <c r="N9" s="328"/>
      <c r="O9" s="328"/>
      <c r="P9" s="328"/>
      <c r="Q9" s="192"/>
    </row>
    <row r="10" spans="2:17" x14ac:dyDescent="0.3">
      <c r="B10" s="80" t="s">
        <v>33</v>
      </c>
      <c r="C10" s="310">
        <f>Assumptions!C27</f>
        <v>0.25</v>
      </c>
      <c r="H10" s="191" t="s">
        <v>312</v>
      </c>
      <c r="I10" s="328"/>
      <c r="J10" s="328"/>
      <c r="K10" s="328"/>
      <c r="L10" s="328"/>
      <c r="M10" s="328"/>
      <c r="N10" s="328"/>
      <c r="O10" s="328"/>
      <c r="P10" s="328"/>
      <c r="Q10" s="192"/>
    </row>
    <row r="11" spans="2:17" x14ac:dyDescent="0.3">
      <c r="B11" s="80" t="s">
        <v>73</v>
      </c>
      <c r="C11" s="311">
        <f>Assumptions!C28</f>
        <v>0.1</v>
      </c>
      <c r="H11" s="191" t="s">
        <v>313</v>
      </c>
      <c r="I11" s="328"/>
      <c r="J11" s="328"/>
      <c r="K11" s="328"/>
      <c r="L11" s="328"/>
      <c r="M11" s="328"/>
      <c r="N11" s="328"/>
      <c r="O11" s="328"/>
      <c r="P11" s="328"/>
      <c r="Q11" s="192"/>
    </row>
    <row r="12" spans="2:17" ht="15" thickBot="1" x14ac:dyDescent="0.35">
      <c r="B12" s="81" t="s">
        <v>74</v>
      </c>
      <c r="C12" s="312">
        <f>Assumptions!C29</f>
        <v>0.9</v>
      </c>
      <c r="H12" s="193" t="s">
        <v>315</v>
      </c>
      <c r="I12" s="194"/>
      <c r="J12" s="194"/>
      <c r="K12" s="194"/>
      <c r="L12" s="194"/>
      <c r="M12" s="194"/>
      <c r="N12" s="194"/>
      <c r="O12" s="194"/>
      <c r="P12" s="194"/>
      <c r="Q12" s="195"/>
    </row>
    <row r="13" spans="2:17" ht="15" thickBot="1" x14ac:dyDescent="0.35">
      <c r="B13" s="69" t="s">
        <v>75</v>
      </c>
      <c r="C13" s="208">
        <f xml:space="preserve"> (C12 * C8) + (C11 * C9 * (1 - C10))</f>
        <v>0.11287500000000002</v>
      </c>
    </row>
    <row r="14" spans="2:17" ht="15.6" x14ac:dyDescent="0.3">
      <c r="C14" s="66"/>
      <c r="H14" s="318" t="s">
        <v>107</v>
      </c>
      <c r="I14" s="319"/>
      <c r="J14" s="320"/>
      <c r="K14" s="320"/>
      <c r="L14" s="320"/>
      <c r="M14" s="320"/>
      <c r="N14" s="321"/>
    </row>
    <row r="15" spans="2:17" x14ac:dyDescent="0.3">
      <c r="H15" s="322" t="s">
        <v>276</v>
      </c>
      <c r="I15" s="111"/>
      <c r="J15" s="111"/>
      <c r="K15" s="111"/>
      <c r="L15" s="111"/>
      <c r="M15" s="111"/>
      <c r="N15" s="323"/>
    </row>
    <row r="16" spans="2:17" x14ac:dyDescent="0.3">
      <c r="B16" s="5" t="s">
        <v>97</v>
      </c>
      <c r="E16" s="53" t="s">
        <v>48</v>
      </c>
      <c r="H16" s="322" t="s">
        <v>314</v>
      </c>
      <c r="I16" s="111"/>
      <c r="J16" s="111"/>
      <c r="K16" s="111"/>
      <c r="L16" s="111"/>
      <c r="M16" s="111"/>
      <c r="N16" s="323"/>
    </row>
    <row r="17" spans="2:14" x14ac:dyDescent="0.3">
      <c r="B17" s="314" t="s">
        <v>77</v>
      </c>
      <c r="C17" s="314" t="s">
        <v>7</v>
      </c>
      <c r="D17" s="314" t="s">
        <v>76</v>
      </c>
      <c r="E17" s="314" t="s">
        <v>78</v>
      </c>
      <c r="H17" s="322" t="s">
        <v>309</v>
      </c>
      <c r="I17" s="111"/>
      <c r="J17" s="111"/>
      <c r="K17" s="111"/>
      <c r="L17" s="111"/>
      <c r="M17" s="111"/>
      <c r="N17" s="323"/>
    </row>
    <row r="18" spans="2:14" x14ac:dyDescent="0.3">
      <c r="B18" s="68">
        <v>2026</v>
      </c>
      <c r="C18" s="313">
        <f>Forecast_Model!D$37</f>
        <v>19651</v>
      </c>
      <c r="D18" s="71">
        <f xml:space="preserve"> 1 / (1 + $C$13)^1</f>
        <v>0.8985735145456587</v>
      </c>
      <c r="E18" s="313">
        <f>C18*D18</f>
        <v>17657.868134336739</v>
      </c>
      <c r="H18" s="324" t="s">
        <v>310</v>
      </c>
      <c r="I18" s="325"/>
      <c r="J18" s="325"/>
      <c r="K18" s="325"/>
      <c r="L18" s="325"/>
      <c r="M18" s="325"/>
      <c r="N18" s="326"/>
    </row>
    <row r="19" spans="2:14" x14ac:dyDescent="0.3">
      <c r="B19" s="68">
        <v>2027</v>
      </c>
      <c r="C19" s="313">
        <f>Forecast_Model!E$37</f>
        <v>20862</v>
      </c>
      <c r="D19" s="71">
        <f xml:space="preserve"> 1 / (1 + $C$13)^2</f>
        <v>0.80743436104293709</v>
      </c>
      <c r="E19" s="313">
        <f>C19*D19</f>
        <v>16844.695640077753</v>
      </c>
    </row>
    <row r="20" spans="2:14" x14ac:dyDescent="0.3">
      <c r="B20" s="68">
        <v>2028</v>
      </c>
      <c r="C20" s="313">
        <f>Forecast_Model!F$37</f>
        <v>22171</v>
      </c>
      <c r="D20" s="71">
        <f xml:space="preserve"> 1 / (1 + $C$13)^3</f>
        <v>0.72553913156728034</v>
      </c>
      <c r="E20" s="313">
        <f t="shared" ref="E20:E22" si="0">C20*D20</f>
        <v>16085.928085978172</v>
      </c>
    </row>
    <row r="21" spans="2:14" x14ac:dyDescent="0.3">
      <c r="B21" s="68">
        <v>2029</v>
      </c>
      <c r="C21" s="313">
        <f>Forecast_Model!G$37</f>
        <v>23590</v>
      </c>
      <c r="D21" s="71">
        <f xml:space="preserve"> 1 / (1 + $C$13)^4</f>
        <v>0.65195024739281615</v>
      </c>
      <c r="E21" s="313">
        <f>C21*D21</f>
        <v>15379.506335996533</v>
      </c>
    </row>
    <row r="22" spans="2:14" x14ac:dyDescent="0.3">
      <c r="B22" s="68">
        <v>2030</v>
      </c>
      <c r="C22" s="313">
        <f>Forecast_Model!H$37</f>
        <v>25055</v>
      </c>
      <c r="D22" s="71">
        <f xml:space="preserve"> 1 / (1 + $C$13)^5</f>
        <v>0.58582522510867452</v>
      </c>
      <c r="E22" s="313">
        <f t="shared" si="0"/>
        <v>14677.85101509784</v>
      </c>
    </row>
    <row r="25" spans="2:14" x14ac:dyDescent="0.3">
      <c r="B25" s="5" t="s">
        <v>99</v>
      </c>
      <c r="C25" s="53" t="s">
        <v>48</v>
      </c>
    </row>
    <row r="26" spans="2:14" x14ac:dyDescent="0.3">
      <c r="B26" s="315" t="s">
        <v>31</v>
      </c>
      <c r="C26" s="315" t="s">
        <v>32</v>
      </c>
    </row>
    <row r="27" spans="2:14" x14ac:dyDescent="0.3">
      <c r="B27" s="74" t="s">
        <v>79</v>
      </c>
      <c r="C27" s="284">
        <f>Forecast_Model!H37</f>
        <v>25055</v>
      </c>
    </row>
    <row r="28" spans="2:14" x14ac:dyDescent="0.3">
      <c r="B28" s="73" t="s">
        <v>80</v>
      </c>
      <c r="C28" s="89">
        <v>0.04</v>
      </c>
    </row>
    <row r="29" spans="2:14" x14ac:dyDescent="0.3">
      <c r="B29" s="74" t="s">
        <v>75</v>
      </c>
      <c r="C29" s="88">
        <f>C13</f>
        <v>0.11287500000000002</v>
      </c>
      <c r="F29" s="5" t="s">
        <v>94</v>
      </c>
    </row>
    <row r="30" spans="2:14" x14ac:dyDescent="0.3">
      <c r="B30" s="74" t="s">
        <v>81</v>
      </c>
      <c r="C30" s="284">
        <f>C27*(1+C28)/(C29-C28)</f>
        <v>357560.20583190385</v>
      </c>
      <c r="H30" s="118"/>
      <c r="I30" s="119" t="s">
        <v>96</v>
      </c>
      <c r="J30" s="118"/>
    </row>
    <row r="31" spans="2:14" ht="15" thickBot="1" x14ac:dyDescent="0.35">
      <c r="B31" s="77" t="s">
        <v>82</v>
      </c>
      <c r="C31" s="85">
        <f>D22</f>
        <v>0.58582522510867452</v>
      </c>
      <c r="F31" s="111" t="s">
        <v>98</v>
      </c>
      <c r="G31" s="112">
        <f>C50</f>
        <v>254.73453632057632</v>
      </c>
      <c r="H31" s="106">
        <v>0.03</v>
      </c>
      <c r="I31" s="106">
        <v>0.04</v>
      </c>
      <c r="J31" s="106">
        <v>0.05</v>
      </c>
    </row>
    <row r="32" spans="2:14" ht="15" thickBot="1" x14ac:dyDescent="0.35">
      <c r="B32" s="79" t="s">
        <v>83</v>
      </c>
      <c r="C32" s="348">
        <f>C30*C31</f>
        <v>209467.78807137907</v>
      </c>
      <c r="F32" s="118"/>
      <c r="G32" s="105">
        <v>0.1</v>
      </c>
      <c r="H32" s="107">
        <f t="dataTable" ref="H32:J34" dt2D="1" dtr="1" r1="C28" r2="C13"/>
        <v>272.47822018177732</v>
      </c>
      <c r="I32" s="115">
        <v>304.99747877753293</v>
      </c>
      <c r="J32" s="108">
        <v>350.52444081159081</v>
      </c>
    </row>
    <row r="33" spans="2:16" ht="15" thickBot="1" x14ac:dyDescent="0.35">
      <c r="B33" s="78"/>
      <c r="C33" s="86"/>
      <c r="F33" s="119" t="s">
        <v>95</v>
      </c>
      <c r="G33" s="105">
        <v>0.11</v>
      </c>
      <c r="H33" s="113">
        <v>240.83058826440174</v>
      </c>
      <c r="I33" s="117">
        <v>264.35293916941299</v>
      </c>
      <c r="J33" s="114">
        <v>295.71607370942809</v>
      </c>
    </row>
    <row r="34" spans="2:16" ht="15" thickBot="1" x14ac:dyDescent="0.35">
      <c r="B34" s="76" t="s">
        <v>84</v>
      </c>
      <c r="C34" s="349">
        <f>SUM(E18:E22)+C32</f>
        <v>290113.63728286611</v>
      </c>
      <c r="F34" s="118"/>
      <c r="G34" s="105">
        <v>0.12</v>
      </c>
      <c r="H34" s="109">
        <v>216.23090901274503</v>
      </c>
      <c r="I34" s="116">
        <v>233.88137109382598</v>
      </c>
      <c r="J34" s="110">
        <v>256.57482234092998</v>
      </c>
    </row>
    <row r="35" spans="2:16" x14ac:dyDescent="0.3">
      <c r="E35" s="66"/>
    </row>
    <row r="37" spans="2:16" x14ac:dyDescent="0.3">
      <c r="B37" s="5" t="s">
        <v>85</v>
      </c>
      <c r="C37" s="53" t="s">
        <v>48</v>
      </c>
    </row>
    <row r="38" spans="2:16" x14ac:dyDescent="0.3">
      <c r="B38" s="72" t="s">
        <v>84</v>
      </c>
      <c r="C38" s="350">
        <f>C34</f>
        <v>290113.63728286611</v>
      </c>
      <c r="K38" s="83"/>
    </row>
    <row r="39" spans="2:16" x14ac:dyDescent="0.3">
      <c r="B39" s="6" t="s">
        <v>86</v>
      </c>
      <c r="C39" s="345">
        <v>91</v>
      </c>
    </row>
    <row r="40" spans="2:16" x14ac:dyDescent="0.3">
      <c r="B40" s="6" t="s">
        <v>87</v>
      </c>
      <c r="C40" s="345">
        <v>4012</v>
      </c>
    </row>
    <row r="41" spans="2:16" x14ac:dyDescent="0.3">
      <c r="B41" s="6" t="s">
        <v>103</v>
      </c>
      <c r="C41" s="345">
        <v>16287</v>
      </c>
    </row>
    <row r="42" spans="2:16" ht="47.4" customHeight="1" x14ac:dyDescent="0.3">
      <c r="B42" s="87" t="s">
        <v>208</v>
      </c>
      <c r="C42" s="346">
        <v>9216</v>
      </c>
    </row>
    <row r="43" spans="2:16" ht="16.2" thickBot="1" x14ac:dyDescent="0.35">
      <c r="B43" s="75" t="s">
        <v>88</v>
      </c>
      <c r="C43" s="346">
        <v>368</v>
      </c>
      <c r="E43" s="47" t="s">
        <v>143</v>
      </c>
    </row>
    <row r="44" spans="2:16" ht="15" thickBot="1" x14ac:dyDescent="0.35">
      <c r="B44" s="76" t="s">
        <v>89</v>
      </c>
      <c r="C44" s="347">
        <f>C38-C39+C40+C41+C42-C43</f>
        <v>319169.63728286611</v>
      </c>
      <c r="E44" s="120" t="s">
        <v>104</v>
      </c>
      <c r="F44" s="125">
        <f>H34</f>
        <v>216.23090901274503</v>
      </c>
    </row>
    <row r="45" spans="2:16" ht="15" thickBot="1" x14ac:dyDescent="0.35">
      <c r="E45" s="76" t="s">
        <v>98</v>
      </c>
      <c r="F45" s="123">
        <f>G31</f>
        <v>254.73453632057632</v>
      </c>
    </row>
    <row r="46" spans="2:16" ht="15" thickBot="1" x14ac:dyDescent="0.35">
      <c r="E46" s="121" t="s">
        <v>105</v>
      </c>
      <c r="F46" s="122">
        <f>J32</f>
        <v>350.52444081159081</v>
      </c>
    </row>
    <row r="47" spans="2:16" x14ac:dyDescent="0.3">
      <c r="B47" s="5" t="s">
        <v>144</v>
      </c>
      <c r="C47" s="53" t="s">
        <v>48</v>
      </c>
    </row>
    <row r="48" spans="2:16" x14ac:dyDescent="0.3">
      <c r="B48" s="6" t="s">
        <v>89</v>
      </c>
      <c r="C48" s="313">
        <f>C44</f>
        <v>319169.63728286611</v>
      </c>
      <c r="E48" s="140" t="s">
        <v>108</v>
      </c>
      <c r="F48" s="126"/>
      <c r="G48" s="126"/>
      <c r="H48" s="126"/>
      <c r="I48" s="127"/>
      <c r="K48" s="140" t="s">
        <v>109</v>
      </c>
      <c r="L48" s="126"/>
      <c r="M48" s="126"/>
      <c r="N48" s="126"/>
      <c r="O48" s="126"/>
      <c r="P48" s="127"/>
    </row>
    <row r="49" spans="2:16" x14ac:dyDescent="0.3">
      <c r="B49" s="6" t="s">
        <v>90</v>
      </c>
      <c r="C49" s="6">
        <v>1252.95</v>
      </c>
      <c r="E49" s="128" t="s">
        <v>145</v>
      </c>
      <c r="F49" s="129"/>
      <c r="G49" s="129"/>
      <c r="H49" s="129"/>
      <c r="I49" s="130"/>
      <c r="K49" s="128" t="s">
        <v>110</v>
      </c>
      <c r="L49" s="129"/>
      <c r="M49" s="129"/>
      <c r="N49" s="129"/>
      <c r="O49" s="129"/>
      <c r="P49" s="130"/>
    </row>
    <row r="50" spans="2:16" x14ac:dyDescent="0.3">
      <c r="B50" s="70" t="s">
        <v>91</v>
      </c>
      <c r="C50" s="161">
        <f>C44/C49</f>
        <v>254.73453632057632</v>
      </c>
      <c r="E50" s="128" t="s">
        <v>146</v>
      </c>
      <c r="F50" s="129"/>
      <c r="G50" s="129"/>
      <c r="H50" s="129"/>
      <c r="I50" s="130"/>
      <c r="K50" s="128" t="s">
        <v>111</v>
      </c>
      <c r="L50" s="129"/>
      <c r="M50" s="129"/>
      <c r="N50" s="129"/>
      <c r="O50" s="129"/>
      <c r="P50" s="130"/>
    </row>
    <row r="51" spans="2:16" x14ac:dyDescent="0.3">
      <c r="B51" s="6" t="s">
        <v>92</v>
      </c>
      <c r="C51" s="6">
        <v>311</v>
      </c>
      <c r="E51" s="128" t="s">
        <v>147</v>
      </c>
      <c r="F51" s="129"/>
      <c r="G51" s="129"/>
      <c r="H51" s="129"/>
      <c r="I51" s="130"/>
      <c r="K51" s="128" t="s">
        <v>112</v>
      </c>
      <c r="L51" s="129"/>
      <c r="M51" s="129"/>
      <c r="N51" s="129"/>
      <c r="O51" s="129"/>
      <c r="P51" s="130"/>
    </row>
    <row r="52" spans="2:16" x14ac:dyDescent="0.3">
      <c r="B52" s="6" t="s">
        <v>93</v>
      </c>
      <c r="C52" s="124">
        <f>(C50-C51)/C51</f>
        <v>-0.1809178896444491</v>
      </c>
      <c r="E52" s="131" t="s">
        <v>278</v>
      </c>
      <c r="F52" s="132"/>
      <c r="G52" s="132"/>
      <c r="H52" s="132"/>
      <c r="I52" s="133"/>
      <c r="K52" s="128" t="s">
        <v>113</v>
      </c>
      <c r="L52" s="129"/>
      <c r="M52" s="129"/>
      <c r="N52" s="129"/>
      <c r="O52" s="129"/>
      <c r="P52" s="130"/>
    </row>
    <row r="53" spans="2:16" x14ac:dyDescent="0.3">
      <c r="K53" s="131" t="s">
        <v>164</v>
      </c>
      <c r="L53" s="132"/>
      <c r="M53" s="132"/>
      <c r="N53" s="132"/>
      <c r="O53" s="132"/>
      <c r="P53" s="133"/>
    </row>
  </sheetData>
  <mergeCells count="1">
    <mergeCell ref="B1:N1"/>
  </mergeCells>
  <conditionalFormatting sqref="C52">
    <cfRule type="cellIs" dxfId="2" priority="1" operator="equal">
      <formula>0</formula>
    </cfRule>
    <cfRule type="cellIs" dxfId="1" priority="2" operator="greaterThan">
      <formula>0</formula>
    </cfRule>
    <cfRule type="cellIs" dxfId="0" priority="3" operator="lessThan">
      <formula>0</formula>
    </cfRule>
  </conditionalFormatting>
  <conditionalFormatting sqref="H32:J34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0019C-EC9D-4BE3-854A-C7B0D44F6BA0}">
  <sheetPr>
    <pageSetUpPr fitToPage="1"/>
  </sheetPr>
  <dimension ref="B1:T54"/>
  <sheetViews>
    <sheetView showGridLines="0" zoomScaleNormal="100" workbookViewId="0">
      <selection activeCell="I6" sqref="I6"/>
    </sheetView>
  </sheetViews>
  <sheetFormatPr defaultRowHeight="14.4" x14ac:dyDescent="0.3"/>
  <cols>
    <col min="2" max="2" width="30.6640625" customWidth="1"/>
    <col min="3" max="3" width="18.33203125" customWidth="1"/>
    <col min="4" max="5" width="10.6640625" bestFit="1" customWidth="1"/>
    <col min="6" max="6" width="9.21875" customWidth="1"/>
    <col min="7" max="7" width="21.5546875" customWidth="1"/>
    <col min="8" max="8" width="10.5546875" bestFit="1" customWidth="1"/>
    <col min="9" max="9" width="15.33203125" customWidth="1"/>
    <col min="10" max="10" width="15.21875" customWidth="1"/>
    <col min="11" max="11" width="14.5546875" customWidth="1"/>
    <col min="12" max="12" width="7" bestFit="1" customWidth="1"/>
  </cols>
  <sheetData>
    <row r="1" spans="2:20" ht="21" x14ac:dyDescent="0.4">
      <c r="B1" s="351" t="s">
        <v>339</v>
      </c>
      <c r="C1" s="351"/>
      <c r="D1" s="351"/>
      <c r="E1" s="351"/>
      <c r="F1" s="351"/>
      <c r="G1" s="351"/>
      <c r="H1" s="351"/>
      <c r="I1" s="351"/>
      <c r="J1" s="351"/>
    </row>
    <row r="2" spans="2:20" x14ac:dyDescent="0.3">
      <c r="G2" s="53" t="s">
        <v>48</v>
      </c>
    </row>
    <row r="3" spans="2:20" x14ac:dyDescent="0.3">
      <c r="B3" s="352" t="s">
        <v>157</v>
      </c>
      <c r="C3" s="352"/>
      <c r="D3" s="352"/>
      <c r="E3" s="352"/>
      <c r="F3" s="352"/>
      <c r="G3" s="352"/>
    </row>
    <row r="4" spans="2:20" x14ac:dyDescent="0.3">
      <c r="B4" s="143"/>
      <c r="C4" s="145">
        <v>2026</v>
      </c>
      <c r="D4" s="145">
        <v>2027</v>
      </c>
      <c r="E4" s="145">
        <v>2028</v>
      </c>
      <c r="F4" s="145">
        <v>2029</v>
      </c>
      <c r="G4" s="145">
        <v>2030</v>
      </c>
    </row>
    <row r="5" spans="2:20" x14ac:dyDescent="0.3">
      <c r="B5" s="143" t="s">
        <v>1</v>
      </c>
      <c r="C5" s="146">
        <f>Forecast_Model!D$12</f>
        <v>80561</v>
      </c>
      <c r="D5" s="146">
        <f>Forecast_Model!E$12</f>
        <v>86214</v>
      </c>
      <c r="E5" s="146">
        <f>Forecast_Model!F$12</f>
        <v>92320</v>
      </c>
      <c r="F5" s="146">
        <f>Forecast_Model!G$12</f>
        <v>98920</v>
      </c>
      <c r="G5" s="146">
        <f>Forecast_Model!H$12</f>
        <v>106058</v>
      </c>
    </row>
    <row r="6" spans="2:20" x14ac:dyDescent="0.3">
      <c r="B6" s="143" t="s">
        <v>3</v>
      </c>
      <c r="C6" s="146">
        <f>Forecast_Model!D$23</f>
        <v>27200.52</v>
      </c>
      <c r="D6" s="146">
        <f>Forecast_Model!E$23</f>
        <v>28886.060799999999</v>
      </c>
      <c r="E6" s="146">
        <f>Forecast_Model!F$23</f>
        <v>30708.863232</v>
      </c>
      <c r="F6" s="146">
        <f>Forecast_Model!G$23</f>
        <v>32684.17776128</v>
      </c>
      <c r="G6" s="146">
        <f>Forecast_Model!H$23</f>
        <v>34728.264871731197</v>
      </c>
    </row>
    <row r="7" spans="2:20" x14ac:dyDescent="0.3">
      <c r="B7" s="143" t="s">
        <v>51</v>
      </c>
      <c r="C7" s="146">
        <f>Forecast_Model!D$33</f>
        <v>20400.39</v>
      </c>
      <c r="D7" s="146">
        <f>Forecast_Model!E$33</f>
        <v>21664.545599999998</v>
      </c>
      <c r="E7" s="146">
        <f>Forecast_Model!F$33</f>
        <v>23031.647423999999</v>
      </c>
      <c r="F7" s="146">
        <f>Forecast_Model!G$33</f>
        <v>24513.133320959998</v>
      </c>
      <c r="G7" s="146">
        <f>Forecast_Model!H$33</f>
        <v>26046.198653798398</v>
      </c>
    </row>
    <row r="8" spans="2:20" x14ac:dyDescent="0.3">
      <c r="B8" s="152" t="s">
        <v>56</v>
      </c>
      <c r="C8" s="146">
        <f>Forecast_Model!D$34</f>
        <v>1772.3419999999999</v>
      </c>
      <c r="D8" s="146">
        <f>Forecast_Model!E$34</f>
        <v>1896.7079999999999</v>
      </c>
      <c r="E8" s="146">
        <f>Forecast_Model!F$34</f>
        <v>2031.04</v>
      </c>
      <c r="F8" s="146">
        <f>Forecast_Model!G$34</f>
        <v>2176.2399999999998</v>
      </c>
      <c r="G8" s="146">
        <f>Forecast_Model!H$34</f>
        <v>2333.2759999999998</v>
      </c>
    </row>
    <row r="9" spans="2:20" x14ac:dyDescent="0.3">
      <c r="B9" s="152" t="s">
        <v>55</v>
      </c>
      <c r="C9" s="146">
        <f>Forecast_Model!D$35</f>
        <v>2416.83</v>
      </c>
      <c r="D9" s="146">
        <f>Forecast_Model!E$35</f>
        <v>2586.42</v>
      </c>
      <c r="E9" s="146">
        <f>Forecast_Model!F$35</f>
        <v>2769.6</v>
      </c>
      <c r="F9" s="146">
        <f>Forecast_Model!G$35</f>
        <v>2967.6</v>
      </c>
      <c r="G9" s="146">
        <f>Forecast_Model!H$35</f>
        <v>3181.74</v>
      </c>
    </row>
    <row r="10" spans="2:20" x14ac:dyDescent="0.3">
      <c r="B10" s="152" t="s">
        <v>57</v>
      </c>
      <c r="C10" s="146">
        <f>Forecast_Model!D$36</f>
        <v>104.75320000000008</v>
      </c>
      <c r="D10" s="146">
        <f>Forecast_Model!E$36</f>
        <v>113.06</v>
      </c>
      <c r="E10" s="146">
        <f>Forecast_Model!F$36</f>
        <v>122.12</v>
      </c>
      <c r="F10" s="146">
        <f>Forecast_Model!G$36</f>
        <v>132</v>
      </c>
      <c r="G10" s="146">
        <f>Forecast_Model!H$36</f>
        <v>142.76</v>
      </c>
    </row>
    <row r="11" spans="2:20" x14ac:dyDescent="0.3">
      <c r="B11" s="143" t="s">
        <v>150</v>
      </c>
      <c r="C11" s="146">
        <f>C7+C8-C9-C10</f>
        <v>19651.148800000003</v>
      </c>
      <c r="D11" s="146">
        <f t="shared" ref="D11:G11" si="0">D7+D8-D9-D10</f>
        <v>20861.773599999997</v>
      </c>
      <c r="E11" s="146">
        <f t="shared" si="0"/>
        <v>22170.967424000002</v>
      </c>
      <c r="F11" s="146">
        <f t="shared" si="0"/>
        <v>23589.773320959997</v>
      </c>
      <c r="G11" s="146">
        <f t="shared" si="0"/>
        <v>25054.974653798399</v>
      </c>
      <c r="P11" s="141"/>
    </row>
    <row r="12" spans="2:20" x14ac:dyDescent="0.3">
      <c r="B12" s="143" t="s">
        <v>76</v>
      </c>
      <c r="C12" s="147">
        <f>1/(1+$C$39)^(COLUMN()-COLUMN($C$12)+1)</f>
        <v>0.8985735145456587</v>
      </c>
      <c r="D12" s="147">
        <f>1/(1+$C$39)^(COLUMN()-COLUMN($C$12)+1)</f>
        <v>0.80743436104293709</v>
      </c>
      <c r="E12" s="147">
        <f>1/(1+$C$39)^(COLUMN()-COLUMN($C$12)+1)</f>
        <v>0.72553913156728034</v>
      </c>
      <c r="F12" s="147">
        <f>1/(1+$C$39)^(COLUMN()-COLUMN($C$12)+1)</f>
        <v>0.65195024739281615</v>
      </c>
      <c r="G12" s="147">
        <f>1/(1+$C$39)^(COLUMN()-COLUMN($C$12)+1)</f>
        <v>0.58582522510867452</v>
      </c>
      <c r="H12" s="141"/>
      <c r="P12" s="141"/>
    </row>
    <row r="13" spans="2:20" ht="15" thickBot="1" x14ac:dyDescent="0.35">
      <c r="B13" s="148" t="s">
        <v>149</v>
      </c>
      <c r="C13" s="149">
        <f>C11*C12</f>
        <v>17658.001842075704</v>
      </c>
      <c r="D13" s="149">
        <f t="shared" ref="D13:G13" si="1">D11*D12</f>
        <v>16844.512836938411</v>
      </c>
      <c r="E13" s="149">
        <f t="shared" si="1"/>
        <v>16085.904450815424</v>
      </c>
      <c r="F13" s="149">
        <f t="shared" si="1"/>
        <v>15379.358552540325</v>
      </c>
      <c r="G13" s="149">
        <f t="shared" si="1"/>
        <v>14677.836166653582</v>
      </c>
    </row>
    <row r="14" spans="2:20" x14ac:dyDescent="0.3">
      <c r="D14" s="143"/>
      <c r="E14" s="143"/>
      <c r="F14" s="143"/>
      <c r="G14" s="143"/>
      <c r="T14" s="141"/>
    </row>
    <row r="15" spans="2:20" x14ac:dyDescent="0.3">
      <c r="C15" s="53" t="s">
        <v>48</v>
      </c>
      <c r="D15" s="143"/>
      <c r="E15" s="143"/>
      <c r="F15" s="143"/>
      <c r="G15" s="143"/>
      <c r="T15" s="141"/>
    </row>
    <row r="16" spans="2:20" x14ac:dyDescent="0.3">
      <c r="B16" s="352" t="s">
        <v>158</v>
      </c>
      <c r="C16" s="352"/>
      <c r="D16" s="143"/>
      <c r="E16" s="143"/>
      <c r="F16" s="143"/>
      <c r="G16" s="143"/>
      <c r="T16" s="154"/>
    </row>
    <row r="17" spans="2:17" x14ac:dyDescent="0.3">
      <c r="B17" s="143" t="s">
        <v>151</v>
      </c>
      <c r="C17" s="144">
        <f>SUM(C13:G13)</f>
        <v>80645.613849023444</v>
      </c>
      <c r="D17" s="143"/>
      <c r="E17" s="143"/>
      <c r="F17" s="143"/>
      <c r="I17" s="352" t="s">
        <v>273</v>
      </c>
      <c r="J17" s="352"/>
      <c r="K17" s="352"/>
      <c r="L17" s="172"/>
      <c r="M17" s="172"/>
      <c r="N17" s="172"/>
    </row>
    <row r="18" spans="2:17" x14ac:dyDescent="0.3">
      <c r="B18" s="143" t="s">
        <v>81</v>
      </c>
      <c r="C18" s="144">
        <f>(G11*(1+Assumptions!C38)/(Assumptions!C30-Assumptions!C38))</f>
        <v>357559.84411595645</v>
      </c>
      <c r="D18" s="143"/>
      <c r="E18" s="143"/>
      <c r="F18" s="143"/>
      <c r="G18" s="143"/>
      <c r="I18" s="353" t="s">
        <v>155</v>
      </c>
      <c r="J18" s="353"/>
      <c r="K18" s="353"/>
      <c r="L18" s="162"/>
    </row>
    <row r="19" spans="2:17" x14ac:dyDescent="0.3">
      <c r="B19" s="143" t="s">
        <v>83</v>
      </c>
      <c r="C19" s="144">
        <f>C18*G12</f>
        <v>209467.57616905277</v>
      </c>
      <c r="D19" s="143"/>
      <c r="E19" s="143"/>
      <c r="F19" s="143"/>
      <c r="G19" s="143"/>
      <c r="I19" s="175"/>
      <c r="J19" s="176" t="s">
        <v>156</v>
      </c>
      <c r="K19" s="176"/>
      <c r="L19" s="104"/>
      <c r="N19" s="242"/>
    </row>
    <row r="20" spans="2:17" x14ac:dyDescent="0.3">
      <c r="B20" s="143" t="s">
        <v>84</v>
      </c>
      <c r="C20" s="144">
        <f>SUM(C13:G13)+C19</f>
        <v>290113.19001807622</v>
      </c>
      <c r="D20" s="143"/>
      <c r="E20" s="143"/>
      <c r="F20" s="143"/>
      <c r="G20" s="5" t="s">
        <v>280</v>
      </c>
      <c r="H20" s="249">
        <f>C28</f>
        <v>254.73417935119215</v>
      </c>
      <c r="I20" s="164">
        <v>0.03</v>
      </c>
      <c r="J20" s="142">
        <v>0.04</v>
      </c>
      <c r="K20" s="142">
        <v>0.05</v>
      </c>
      <c r="L20" s="142"/>
      <c r="M20" s="142"/>
      <c r="N20" s="243"/>
      <c r="O20" s="141"/>
      <c r="P20" s="141"/>
      <c r="Q20" s="141"/>
    </row>
    <row r="21" spans="2:17" ht="15" thickBot="1" x14ac:dyDescent="0.35">
      <c r="B21" s="152" t="s">
        <v>152</v>
      </c>
      <c r="C21" s="144">
        <v>91</v>
      </c>
      <c r="D21" s="143"/>
      <c r="E21" s="143"/>
      <c r="F21" s="143"/>
      <c r="G21" s="177"/>
      <c r="H21" s="141">
        <v>0.1</v>
      </c>
      <c r="I21" s="245">
        <f>DCF!H32</f>
        <v>272.47822018177732</v>
      </c>
      <c r="J21" s="245">
        <f>DCF!I32</f>
        <v>304.99747877753293</v>
      </c>
      <c r="K21" s="245">
        <f>DCF!J32</f>
        <v>350.52444081159081</v>
      </c>
      <c r="L21" s="104"/>
      <c r="M21" s="104"/>
      <c r="N21" s="142"/>
    </row>
    <row r="22" spans="2:17" ht="15" thickBot="1" x14ac:dyDescent="0.35">
      <c r="B22" s="152" t="s">
        <v>153</v>
      </c>
      <c r="C22" s="144">
        <v>4012</v>
      </c>
      <c r="D22" s="143"/>
      <c r="E22" s="143"/>
      <c r="F22" s="143"/>
      <c r="G22" s="178" t="s">
        <v>95</v>
      </c>
      <c r="H22" s="141">
        <v>0.11</v>
      </c>
      <c r="I22" s="245">
        <f>DCF!H33</f>
        <v>240.83058826440174</v>
      </c>
      <c r="J22" s="246">
        <f>DCF!I33</f>
        <v>264.35293916941299</v>
      </c>
      <c r="K22" s="245">
        <f>DCF!J33</f>
        <v>295.71607370942809</v>
      </c>
      <c r="L22" s="104"/>
      <c r="M22" s="104"/>
      <c r="N22" s="142"/>
    </row>
    <row r="23" spans="2:17" x14ac:dyDescent="0.3">
      <c r="B23" s="152" t="s">
        <v>103</v>
      </c>
      <c r="C23" s="144">
        <v>16287</v>
      </c>
      <c r="D23" s="143"/>
      <c r="E23" s="143"/>
      <c r="F23" s="143"/>
      <c r="G23" s="177"/>
      <c r="H23" s="141">
        <v>0.12</v>
      </c>
      <c r="I23" s="245">
        <f>DCF!H34</f>
        <v>216.23090901274503</v>
      </c>
      <c r="J23" s="245">
        <f>DCF!I34</f>
        <v>233.88137109382598</v>
      </c>
      <c r="K23" s="245">
        <f>DCF!J34</f>
        <v>256.57482234092998</v>
      </c>
      <c r="L23" s="104"/>
      <c r="M23" s="104"/>
      <c r="N23" s="142"/>
    </row>
    <row r="24" spans="2:17" x14ac:dyDescent="0.3">
      <c r="B24" s="152" t="s">
        <v>154</v>
      </c>
      <c r="C24" s="144">
        <v>9216</v>
      </c>
      <c r="D24" s="143"/>
      <c r="E24" s="143"/>
      <c r="F24" s="143"/>
      <c r="G24" s="143"/>
    </row>
    <row r="25" spans="2:17" x14ac:dyDescent="0.3">
      <c r="B25" s="152" t="s">
        <v>88</v>
      </c>
      <c r="C25" s="144">
        <v>368</v>
      </c>
      <c r="D25" s="143"/>
      <c r="E25" s="143"/>
      <c r="F25" s="143"/>
      <c r="G25" s="143"/>
    </row>
    <row r="26" spans="2:17" x14ac:dyDescent="0.3">
      <c r="B26" s="143" t="s">
        <v>89</v>
      </c>
      <c r="C26" s="144">
        <f>C20-C21+C22+C23+C24-C25</f>
        <v>319169.19001807622</v>
      </c>
      <c r="D26" s="143"/>
      <c r="E26" s="143"/>
      <c r="F26" s="143"/>
      <c r="G26" s="143"/>
    </row>
    <row r="27" spans="2:17" x14ac:dyDescent="0.3">
      <c r="B27" s="143" t="s">
        <v>90</v>
      </c>
      <c r="C27" s="144">
        <v>1252.95</v>
      </c>
      <c r="D27" s="143"/>
      <c r="E27" s="143"/>
      <c r="F27" s="143"/>
      <c r="G27" s="143"/>
    </row>
    <row r="28" spans="2:17" x14ac:dyDescent="0.3">
      <c r="B28" s="150" t="s">
        <v>91</v>
      </c>
      <c r="C28" s="151">
        <f>C26/C27</f>
        <v>254.73417935119215</v>
      </c>
      <c r="G28" s="154"/>
    </row>
    <row r="29" spans="2:17" x14ac:dyDescent="0.3">
      <c r="G29" s="141"/>
      <c r="I29" s="154"/>
    </row>
    <row r="30" spans="2:17" x14ac:dyDescent="0.3">
      <c r="B30" s="352" t="s">
        <v>331</v>
      </c>
      <c r="C30" s="352"/>
      <c r="I30" s="352" t="s">
        <v>330</v>
      </c>
      <c r="J30" s="352"/>
    </row>
    <row r="31" spans="2:17" x14ac:dyDescent="0.3">
      <c r="B31" t="s">
        <v>131</v>
      </c>
      <c r="C31" s="166">
        <v>7.0000000000000007E-2</v>
      </c>
      <c r="I31" t="s">
        <v>165</v>
      </c>
      <c r="J31" s="163">
        <f>C28</f>
        <v>254.73417935119215</v>
      </c>
    </row>
    <row r="32" spans="2:17" x14ac:dyDescent="0.3">
      <c r="B32" t="s">
        <v>69</v>
      </c>
      <c r="C32" s="167">
        <v>6.5000000000000002E-2</v>
      </c>
      <c r="I32" t="s">
        <v>166</v>
      </c>
      <c r="J32" s="230">
        <v>311</v>
      </c>
    </row>
    <row r="33" spans="2:10" x14ac:dyDescent="0.3">
      <c r="B33" t="s">
        <v>70</v>
      </c>
      <c r="C33" s="168">
        <v>0.75</v>
      </c>
      <c r="I33" t="s">
        <v>167</v>
      </c>
      <c r="J33" s="173">
        <f>(J31-J32)/J32</f>
        <v>-0.18091903745597379</v>
      </c>
    </row>
    <row r="34" spans="2:10" x14ac:dyDescent="0.3">
      <c r="B34" s="170" t="s">
        <v>132</v>
      </c>
      <c r="C34" s="171">
        <f>C31+C33*C32</f>
        <v>0.11875000000000001</v>
      </c>
    </row>
    <row r="35" spans="2:10" x14ac:dyDescent="0.3">
      <c r="B35" t="s">
        <v>133</v>
      </c>
      <c r="C35" s="141">
        <v>0.08</v>
      </c>
    </row>
    <row r="36" spans="2:10" x14ac:dyDescent="0.3">
      <c r="B36" t="s">
        <v>33</v>
      </c>
      <c r="C36" s="141">
        <v>0.25</v>
      </c>
    </row>
    <row r="37" spans="2:10" x14ac:dyDescent="0.3">
      <c r="B37" t="s">
        <v>73</v>
      </c>
      <c r="C37" s="141">
        <v>0.1</v>
      </c>
    </row>
    <row r="38" spans="2:10" x14ac:dyDescent="0.3">
      <c r="B38" t="s">
        <v>74</v>
      </c>
      <c r="C38" s="141">
        <v>0.9</v>
      </c>
    </row>
    <row r="39" spans="2:10" x14ac:dyDescent="0.3">
      <c r="B39" s="169" t="s">
        <v>75</v>
      </c>
      <c r="C39" s="244">
        <f>(C38 * C34) + (C37 * C35 * (1-C36))</f>
        <v>0.11287500000000002</v>
      </c>
    </row>
    <row r="40" spans="2:10" x14ac:dyDescent="0.3">
      <c r="B40" t="s">
        <v>106</v>
      </c>
      <c r="C40" s="141">
        <f>Assumptions!C38</f>
        <v>0.04</v>
      </c>
    </row>
    <row r="42" spans="2:10" ht="15.6" x14ac:dyDescent="0.3">
      <c r="B42" s="317" t="s">
        <v>168</v>
      </c>
      <c r="C42" s="224"/>
    </row>
    <row r="43" spans="2:10" x14ac:dyDescent="0.3">
      <c r="B43" s="225" t="s">
        <v>277</v>
      </c>
      <c r="C43" s="226"/>
    </row>
    <row r="44" spans="2:10" x14ac:dyDescent="0.3">
      <c r="B44" s="225" t="s">
        <v>281</v>
      </c>
      <c r="C44" s="226"/>
    </row>
    <row r="45" spans="2:10" x14ac:dyDescent="0.3">
      <c r="B45" s="225" t="s">
        <v>282</v>
      </c>
      <c r="C45" s="226"/>
    </row>
    <row r="46" spans="2:10" x14ac:dyDescent="0.3">
      <c r="B46" s="225" t="s">
        <v>169</v>
      </c>
      <c r="C46" s="226"/>
    </row>
    <row r="47" spans="2:10" x14ac:dyDescent="0.3">
      <c r="B47" s="225" t="s">
        <v>170</v>
      </c>
      <c r="C47" s="226"/>
    </row>
    <row r="48" spans="2:10" x14ac:dyDescent="0.3">
      <c r="B48" s="225" t="s">
        <v>171</v>
      </c>
      <c r="C48" s="226"/>
    </row>
    <row r="49" spans="2:3" x14ac:dyDescent="0.3">
      <c r="B49" s="227" t="s">
        <v>172</v>
      </c>
      <c r="C49" s="229"/>
    </row>
    <row r="51" spans="2:3" x14ac:dyDescent="0.3">
      <c r="B51" s="352" t="s">
        <v>332</v>
      </c>
      <c r="C51" s="352"/>
    </row>
    <row r="52" spans="2:3" x14ac:dyDescent="0.3">
      <c r="B52" s="281" t="s">
        <v>173</v>
      </c>
      <c r="C52" s="340">
        <f>I23</f>
        <v>216.23090901274503</v>
      </c>
    </row>
    <row r="53" spans="2:3" x14ac:dyDescent="0.3">
      <c r="B53" s="332" t="s">
        <v>174</v>
      </c>
      <c r="C53" s="343">
        <f>H20</f>
        <v>254.73417935119215</v>
      </c>
    </row>
    <row r="54" spans="2:3" x14ac:dyDescent="0.3">
      <c r="B54" s="341" t="s">
        <v>175</v>
      </c>
      <c r="C54" s="342">
        <f>K21</f>
        <v>350.52444081159081</v>
      </c>
    </row>
  </sheetData>
  <mergeCells count="8">
    <mergeCell ref="B1:J1"/>
    <mergeCell ref="B51:C51"/>
    <mergeCell ref="B3:G3"/>
    <mergeCell ref="B16:C16"/>
    <mergeCell ref="B30:C30"/>
    <mergeCell ref="I30:J30"/>
    <mergeCell ref="I17:K17"/>
    <mergeCell ref="I18:K18"/>
  </mergeCells>
  <conditionalFormatting sqref="I21:K2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21:M2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scale="54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0BB4B-5475-4B38-9BA4-32F724792DB8}">
  <sheetPr>
    <pageSetUpPr fitToPage="1"/>
  </sheetPr>
  <dimension ref="B1:V38"/>
  <sheetViews>
    <sheetView showGridLines="0" workbookViewId="0">
      <selection activeCell="H19" sqref="H19"/>
    </sheetView>
  </sheetViews>
  <sheetFormatPr defaultRowHeight="14.4" x14ac:dyDescent="0.3"/>
  <cols>
    <col min="2" max="2" width="25.109375" bestFit="1" customWidth="1"/>
    <col min="3" max="3" width="11.33203125" bestFit="1" customWidth="1"/>
    <col min="4" max="4" width="11.88671875" customWidth="1"/>
    <col min="5" max="5" width="10.5546875" bestFit="1" customWidth="1"/>
    <col min="6" max="6" width="9.33203125" bestFit="1" customWidth="1"/>
    <col min="7" max="7" width="9.44140625" bestFit="1" customWidth="1"/>
    <col min="8" max="10" width="10.44140625" bestFit="1" customWidth="1"/>
    <col min="15" max="15" width="10.6640625" bestFit="1" customWidth="1"/>
  </cols>
  <sheetData>
    <row r="1" spans="2:19" ht="21" x14ac:dyDescent="0.4">
      <c r="B1" s="351" t="s">
        <v>340</v>
      </c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</row>
    <row r="2" spans="2:19" ht="21" x14ac:dyDescent="0.4"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</row>
    <row r="3" spans="2:19" x14ac:dyDescent="0.3">
      <c r="G3" s="361" t="s">
        <v>192</v>
      </c>
      <c r="H3" s="361"/>
      <c r="I3" s="361"/>
      <c r="J3" s="361"/>
    </row>
    <row r="4" spans="2:19" ht="15.6" x14ac:dyDescent="0.3">
      <c r="B4" s="155" t="s">
        <v>176</v>
      </c>
      <c r="C4" s="155" t="s">
        <v>166</v>
      </c>
      <c r="D4" s="155" t="s">
        <v>177</v>
      </c>
      <c r="E4" s="155" t="s">
        <v>178</v>
      </c>
      <c r="F4" s="155" t="s">
        <v>179</v>
      </c>
      <c r="G4" s="155" t="s">
        <v>180</v>
      </c>
      <c r="H4" s="155" t="s">
        <v>181</v>
      </c>
      <c r="I4" s="155" t="s">
        <v>3</v>
      </c>
      <c r="J4" s="155" t="s">
        <v>4</v>
      </c>
      <c r="L4" s="317" t="s">
        <v>328</v>
      </c>
      <c r="M4" s="223"/>
      <c r="N4" s="223"/>
      <c r="O4" s="223"/>
      <c r="P4" s="223"/>
      <c r="Q4" s="223"/>
      <c r="R4" s="223"/>
      <c r="S4" s="224"/>
    </row>
    <row r="5" spans="2:19" ht="15" thickBot="1" x14ac:dyDescent="0.35">
      <c r="B5" s="185" t="s">
        <v>182</v>
      </c>
      <c r="C5" s="186">
        <f>'DCF (Formatted) '!J32</f>
        <v>311</v>
      </c>
      <c r="D5" s="187">
        <v>394553</v>
      </c>
      <c r="E5" s="248">
        <f>'DCF (Formatted) '!C27</f>
        <v>1252.95</v>
      </c>
      <c r="F5" s="185">
        <f>'DCF (Formatted) '!C21</f>
        <v>91</v>
      </c>
      <c r="G5" s="187">
        <f>'DCF (Formatted) '!C22</f>
        <v>4012</v>
      </c>
      <c r="H5" s="187">
        <f>Historical_Financials!C8</f>
        <v>75323.34</v>
      </c>
      <c r="I5" s="187">
        <f>Historical_Financials!D8</f>
        <v>25839.45</v>
      </c>
      <c r="J5" s="187">
        <f>Historical_Financials!H8</f>
        <v>19600</v>
      </c>
      <c r="L5" s="225" t="s">
        <v>322</v>
      </c>
      <c r="M5" s="95"/>
      <c r="N5" s="95"/>
      <c r="O5" s="95"/>
      <c r="P5" s="95"/>
      <c r="Q5" s="95"/>
      <c r="R5" s="95"/>
      <c r="S5" s="226"/>
    </row>
    <row r="6" spans="2:19" x14ac:dyDescent="0.3">
      <c r="B6" s="5" t="s">
        <v>183</v>
      </c>
      <c r="L6" s="225" t="s">
        <v>323</v>
      </c>
      <c r="M6" s="95"/>
      <c r="N6" s="95"/>
      <c r="O6" s="95"/>
      <c r="P6" s="95"/>
      <c r="Q6" s="95"/>
      <c r="R6" s="95"/>
      <c r="S6" s="226"/>
    </row>
    <row r="7" spans="2:19" x14ac:dyDescent="0.3">
      <c r="B7" t="s">
        <v>184</v>
      </c>
      <c r="C7" s="181">
        <v>2254</v>
      </c>
      <c r="D7" s="183">
        <v>528870</v>
      </c>
      <c r="E7" s="179">
        <v>234.64</v>
      </c>
      <c r="F7" s="183">
        <v>1</v>
      </c>
      <c r="G7" s="183">
        <v>7554</v>
      </c>
      <c r="H7" s="183">
        <v>63121</v>
      </c>
      <c r="I7" s="183">
        <v>14843</v>
      </c>
      <c r="J7" s="183">
        <v>10649</v>
      </c>
      <c r="L7" s="225" t="s">
        <v>324</v>
      </c>
      <c r="M7" s="95"/>
      <c r="N7" s="95"/>
      <c r="O7" s="95"/>
      <c r="P7" s="95"/>
      <c r="Q7" s="95"/>
      <c r="R7" s="95"/>
      <c r="S7" s="226"/>
    </row>
    <row r="8" spans="2:19" x14ac:dyDescent="0.3">
      <c r="B8" t="s">
        <v>185</v>
      </c>
      <c r="C8" s="181">
        <v>1147.7</v>
      </c>
      <c r="D8" s="183">
        <v>113265</v>
      </c>
      <c r="E8" s="179">
        <v>98.69</v>
      </c>
      <c r="F8" s="183">
        <v>1849</v>
      </c>
      <c r="G8" s="183">
        <v>2818</v>
      </c>
      <c r="H8" s="183">
        <v>17618</v>
      </c>
      <c r="I8" s="183">
        <v>2479</v>
      </c>
      <c r="J8" s="183">
        <v>1278</v>
      </c>
      <c r="L8" s="225" t="s">
        <v>325</v>
      </c>
      <c r="M8" s="95"/>
      <c r="N8" s="95"/>
      <c r="O8" s="95"/>
      <c r="P8" s="95"/>
      <c r="Q8" s="95"/>
      <c r="R8" s="95"/>
      <c r="S8" s="226"/>
    </row>
    <row r="9" spans="2:19" x14ac:dyDescent="0.3">
      <c r="B9" t="s">
        <v>186</v>
      </c>
      <c r="C9" s="181">
        <v>5729</v>
      </c>
      <c r="D9" s="183">
        <v>137921</v>
      </c>
      <c r="E9" s="179">
        <v>24.07</v>
      </c>
      <c r="F9" s="183">
        <v>1225</v>
      </c>
      <c r="G9" s="183">
        <v>312</v>
      </c>
      <c r="H9" s="183">
        <v>17943</v>
      </c>
      <c r="I9" s="183">
        <v>3176</v>
      </c>
      <c r="J9" s="183">
        <v>2179</v>
      </c>
      <c r="L9" s="227" t="s">
        <v>326</v>
      </c>
      <c r="M9" s="228"/>
      <c r="N9" s="228"/>
      <c r="O9" s="228"/>
      <c r="P9" s="228"/>
      <c r="Q9" s="228"/>
      <c r="R9" s="228"/>
      <c r="S9" s="229"/>
    </row>
    <row r="10" spans="2:19" ht="15.6" x14ac:dyDescent="0.3">
      <c r="B10" s="138" t="s">
        <v>187</v>
      </c>
      <c r="C10" s="182">
        <v>1459</v>
      </c>
      <c r="D10" s="184">
        <v>281264</v>
      </c>
      <c r="E10" s="180">
        <v>192.78</v>
      </c>
      <c r="F10" s="184">
        <v>753</v>
      </c>
      <c r="G10" s="184">
        <v>96</v>
      </c>
      <c r="H10" s="184">
        <v>20202</v>
      </c>
      <c r="I10" s="184">
        <v>4771</v>
      </c>
      <c r="J10" s="184">
        <v>3315</v>
      </c>
      <c r="L10" s="338" t="s">
        <v>41</v>
      </c>
      <c r="M10" s="95"/>
      <c r="N10" s="95"/>
      <c r="O10" s="95"/>
      <c r="P10" s="95"/>
      <c r="Q10" s="95"/>
      <c r="R10" s="95"/>
      <c r="S10" s="226"/>
    </row>
    <row r="11" spans="2:19" x14ac:dyDescent="0.3">
      <c r="B11" s="5" t="s">
        <v>188</v>
      </c>
      <c r="C11" s="181"/>
      <c r="D11" s="183"/>
      <c r="E11" s="179"/>
      <c r="F11" s="183"/>
      <c r="G11" s="183"/>
      <c r="H11" s="183"/>
      <c r="I11" s="183"/>
      <c r="J11" s="183"/>
      <c r="L11" s="225" t="s">
        <v>317</v>
      </c>
      <c r="M11" s="95"/>
      <c r="N11" s="95"/>
      <c r="O11" s="95"/>
      <c r="P11" s="95"/>
      <c r="Q11" s="95"/>
      <c r="R11" s="95"/>
      <c r="S11" s="226"/>
    </row>
    <row r="12" spans="2:19" x14ac:dyDescent="0.3">
      <c r="B12" t="s">
        <v>189</v>
      </c>
      <c r="C12" s="181">
        <v>2251</v>
      </c>
      <c r="D12" s="183">
        <v>35111</v>
      </c>
      <c r="E12" s="179">
        <v>15.6</v>
      </c>
      <c r="F12" s="183">
        <v>29</v>
      </c>
      <c r="G12" s="183">
        <v>30</v>
      </c>
      <c r="H12" s="183">
        <v>5611</v>
      </c>
      <c r="I12" s="183">
        <v>1177</v>
      </c>
      <c r="J12" s="183">
        <v>1072</v>
      </c>
      <c r="L12" s="225" t="s">
        <v>318</v>
      </c>
      <c r="M12" s="95"/>
      <c r="N12" s="95"/>
      <c r="O12" s="95"/>
      <c r="P12" s="95"/>
      <c r="Q12" s="95"/>
      <c r="R12" s="95"/>
      <c r="S12" s="226"/>
    </row>
    <row r="13" spans="2:19" x14ac:dyDescent="0.3">
      <c r="B13" t="s">
        <v>190</v>
      </c>
      <c r="C13" s="181">
        <v>258</v>
      </c>
      <c r="D13" s="183">
        <v>4389</v>
      </c>
      <c r="E13" s="179">
        <v>17.010000000000002</v>
      </c>
      <c r="F13" s="188" t="s">
        <v>191</v>
      </c>
      <c r="G13" s="183">
        <v>18</v>
      </c>
      <c r="H13" s="183">
        <v>1398</v>
      </c>
      <c r="I13" s="183">
        <v>279</v>
      </c>
      <c r="J13" s="183">
        <v>290</v>
      </c>
      <c r="L13" s="225" t="s">
        <v>319</v>
      </c>
      <c r="M13" s="95"/>
      <c r="N13" s="95"/>
      <c r="O13" s="95"/>
      <c r="P13" s="95"/>
      <c r="Q13" s="95"/>
      <c r="R13" s="95"/>
      <c r="S13" s="226"/>
    </row>
    <row r="14" spans="2:19" x14ac:dyDescent="0.3">
      <c r="L14" s="225" t="s">
        <v>320</v>
      </c>
      <c r="M14" s="95"/>
      <c r="N14" s="95"/>
      <c r="O14" s="95"/>
      <c r="P14" s="95"/>
      <c r="Q14" s="95"/>
      <c r="R14" s="95"/>
      <c r="S14" s="226"/>
    </row>
    <row r="15" spans="2:19" x14ac:dyDescent="0.3">
      <c r="B15" s="5" t="s">
        <v>193</v>
      </c>
      <c r="L15" s="227" t="s">
        <v>321</v>
      </c>
      <c r="M15" s="228"/>
      <c r="N15" s="228"/>
      <c r="O15" s="228"/>
      <c r="P15" s="228"/>
      <c r="Q15" s="228"/>
      <c r="R15" s="228"/>
      <c r="S15" s="229"/>
    </row>
    <row r="16" spans="2:19" x14ac:dyDescent="0.3">
      <c r="B16" s="155" t="s">
        <v>176</v>
      </c>
      <c r="C16" s="155" t="s">
        <v>194</v>
      </c>
      <c r="D16" s="155" t="s">
        <v>195</v>
      </c>
      <c r="E16" s="155" t="s">
        <v>196</v>
      </c>
    </row>
    <row r="17" spans="2:22" ht="16.2" thickBot="1" x14ac:dyDescent="0.35">
      <c r="B17" s="185" t="s">
        <v>182</v>
      </c>
      <c r="C17" s="187">
        <f>D5+F5-G5</f>
        <v>390632</v>
      </c>
      <c r="D17" s="186">
        <f>D5/J5</f>
        <v>20.130255102040817</v>
      </c>
      <c r="E17" s="186">
        <f>C17/I5</f>
        <v>15.117659238102977</v>
      </c>
      <c r="L17" s="339" t="s">
        <v>205</v>
      </c>
      <c r="M17" s="329"/>
      <c r="N17" s="329"/>
      <c r="O17" s="329"/>
      <c r="P17" s="329"/>
      <c r="Q17" s="329"/>
      <c r="R17" s="329"/>
      <c r="S17" s="329"/>
      <c r="T17" s="329"/>
      <c r="U17" s="329"/>
      <c r="V17" s="330"/>
    </row>
    <row r="18" spans="2:22" x14ac:dyDescent="0.3">
      <c r="B18" s="5" t="s">
        <v>183</v>
      </c>
      <c r="L18" s="331" t="s">
        <v>239</v>
      </c>
      <c r="M18" s="332"/>
      <c r="N18" s="332"/>
      <c r="O18" s="333">
        <f>C35*J5/E5</f>
        <v>374.55234159991784</v>
      </c>
      <c r="P18" s="332"/>
      <c r="Q18" s="332"/>
      <c r="R18" s="332"/>
      <c r="S18" s="332"/>
      <c r="T18" s="332"/>
      <c r="U18" s="332"/>
      <c r="V18" s="334"/>
    </row>
    <row r="19" spans="2:22" x14ac:dyDescent="0.3">
      <c r="B19" t="s">
        <v>184</v>
      </c>
      <c r="C19" s="183">
        <f>D7+F7-G7</f>
        <v>521317</v>
      </c>
      <c r="D19" s="181">
        <f>D7/J7</f>
        <v>49.663818198891917</v>
      </c>
      <c r="E19" s="181">
        <f>C19/I7</f>
        <v>35.122077747086166</v>
      </c>
      <c r="L19" s="331" t="s">
        <v>240</v>
      </c>
      <c r="M19" s="332"/>
      <c r="N19" s="332"/>
      <c r="O19" s="333">
        <f>C29*J5/E5</f>
        <v>1120.1697584847188</v>
      </c>
      <c r="P19" s="332"/>
      <c r="Q19" s="332"/>
      <c r="R19" s="332"/>
      <c r="S19" s="332"/>
      <c r="T19" s="332"/>
      <c r="U19" s="332"/>
      <c r="V19" s="334"/>
    </row>
    <row r="20" spans="2:22" x14ac:dyDescent="0.3">
      <c r="B20" t="s">
        <v>185</v>
      </c>
      <c r="C20" s="183">
        <f t="shared" ref="C20:C22" si="0">D8+F8-G8</f>
        <v>112296</v>
      </c>
      <c r="D20" s="181">
        <f t="shared" ref="D20:D22" si="1">D8/J8</f>
        <v>88.626760563380287</v>
      </c>
      <c r="E20" s="181">
        <f t="shared" ref="E20:E22" si="2">C20/I8</f>
        <v>45.298910851149657</v>
      </c>
      <c r="L20" s="331" t="s">
        <v>327</v>
      </c>
      <c r="M20" s="332"/>
      <c r="N20" s="332"/>
      <c r="O20" s="332"/>
      <c r="P20" s="332"/>
      <c r="Q20" s="332"/>
      <c r="R20" s="332"/>
      <c r="S20" s="332"/>
      <c r="T20" s="332"/>
      <c r="U20" s="332"/>
      <c r="V20" s="334"/>
    </row>
    <row r="21" spans="2:22" x14ac:dyDescent="0.3">
      <c r="B21" t="s">
        <v>186</v>
      </c>
      <c r="C21" s="183">
        <f t="shared" si="0"/>
        <v>138834</v>
      </c>
      <c r="D21" s="181">
        <f t="shared" si="1"/>
        <v>63.295548416704911</v>
      </c>
      <c r="E21" s="181">
        <f t="shared" si="2"/>
        <v>43.713476070528969</v>
      </c>
      <c r="L21" s="335" t="s">
        <v>206</v>
      </c>
      <c r="M21" s="336"/>
      <c r="N21" s="336"/>
      <c r="O21" s="336"/>
      <c r="P21" s="336"/>
      <c r="Q21" s="336"/>
      <c r="R21" s="336"/>
      <c r="S21" s="336"/>
      <c r="T21" s="336"/>
      <c r="U21" s="336"/>
      <c r="V21" s="337"/>
    </row>
    <row r="22" spans="2:22" x14ac:dyDescent="0.3">
      <c r="B22" s="138" t="s">
        <v>187</v>
      </c>
      <c r="C22" s="184">
        <f t="shared" si="0"/>
        <v>281921</v>
      </c>
      <c r="D22" s="182">
        <f t="shared" si="1"/>
        <v>84.845852187028655</v>
      </c>
      <c r="E22" s="182">
        <f t="shared" si="2"/>
        <v>59.090547055124709</v>
      </c>
    </row>
    <row r="23" spans="2:22" x14ac:dyDescent="0.3">
      <c r="B23" s="5" t="s">
        <v>188</v>
      </c>
    </row>
    <row r="24" spans="2:22" x14ac:dyDescent="0.3">
      <c r="B24" t="s">
        <v>189</v>
      </c>
      <c r="C24" s="183">
        <f>D12+F12-G12</f>
        <v>35110</v>
      </c>
      <c r="D24" s="181">
        <f>D12/J12</f>
        <v>32.752798507462686</v>
      </c>
      <c r="E24" s="181">
        <f>C24/I12</f>
        <v>29.830076465590484</v>
      </c>
    </row>
    <row r="25" spans="2:22" x14ac:dyDescent="0.3">
      <c r="B25" t="s">
        <v>190</v>
      </c>
      <c r="C25" s="183">
        <f>D13+0-G13</f>
        <v>4371</v>
      </c>
      <c r="D25" s="181">
        <f>D13/J13</f>
        <v>15.13448275862069</v>
      </c>
      <c r="E25" s="181">
        <f>C25/I13</f>
        <v>15.666666666666666</v>
      </c>
    </row>
    <row r="27" spans="2:22" x14ac:dyDescent="0.3">
      <c r="B27" s="5" t="s">
        <v>197</v>
      </c>
    </row>
    <row r="28" spans="2:22" x14ac:dyDescent="0.3">
      <c r="B28" s="165" t="s">
        <v>198</v>
      </c>
      <c r="C28" s="153" t="s">
        <v>204</v>
      </c>
    </row>
    <row r="29" spans="2:22" x14ac:dyDescent="0.3">
      <c r="B29" t="s">
        <v>199</v>
      </c>
      <c r="C29" s="196">
        <f>AVERAGE(D19:D22)</f>
        <v>71.607994841501451</v>
      </c>
    </row>
    <row r="30" spans="2:22" x14ac:dyDescent="0.3">
      <c r="B30" t="s">
        <v>200</v>
      </c>
      <c r="C30" s="196">
        <f>MEDIAN(D19:D22)</f>
        <v>74.070700301866779</v>
      </c>
    </row>
    <row r="31" spans="2:22" x14ac:dyDescent="0.3">
      <c r="B31" t="s">
        <v>201</v>
      </c>
      <c r="C31" s="196">
        <f>AVERAGE(E19:E22)</f>
        <v>45.806252930972377</v>
      </c>
    </row>
    <row r="32" spans="2:22" x14ac:dyDescent="0.3">
      <c r="B32" t="s">
        <v>202</v>
      </c>
      <c r="C32" s="196">
        <f>MEDIAN(E19:E22)</f>
        <v>44.506193460839313</v>
      </c>
    </row>
    <row r="34" spans="2:3" x14ac:dyDescent="0.3">
      <c r="B34" s="165" t="s">
        <v>203</v>
      </c>
      <c r="C34" s="153" t="s">
        <v>204</v>
      </c>
    </row>
    <row r="35" spans="2:3" x14ac:dyDescent="0.3">
      <c r="B35" t="s">
        <v>199</v>
      </c>
      <c r="C35" s="196">
        <f>AVERAGE(D24:D25)</f>
        <v>23.943640633041689</v>
      </c>
    </row>
    <row r="36" spans="2:3" x14ac:dyDescent="0.3">
      <c r="B36" t="s">
        <v>200</v>
      </c>
      <c r="C36" s="196">
        <f>MEDIAN(D24:D25)</f>
        <v>23.943640633041689</v>
      </c>
    </row>
    <row r="37" spans="2:3" x14ac:dyDescent="0.3">
      <c r="B37" t="s">
        <v>201</v>
      </c>
      <c r="C37" s="196">
        <f>AVERAGE(E24:E25)</f>
        <v>22.748371566128576</v>
      </c>
    </row>
    <row r="38" spans="2:3" x14ac:dyDescent="0.3">
      <c r="B38" t="s">
        <v>202</v>
      </c>
      <c r="C38" s="196">
        <f>MEDIAN(E24:E25)</f>
        <v>22.748371566128576</v>
      </c>
    </row>
  </sheetData>
  <mergeCells count="2">
    <mergeCell ref="B1:P1"/>
    <mergeCell ref="G3:J3"/>
  </mergeCells>
  <pageMargins left="0.7" right="0.7" top="0.75" bottom="0.75" header="0.3" footer="0.3"/>
  <pageSetup scale="39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F6A2C-0A5B-4A3C-9B75-319B82A77B4A}">
  <sheetPr>
    <pageSetUpPr fitToPage="1"/>
  </sheetPr>
  <dimension ref="B2:N39"/>
  <sheetViews>
    <sheetView showGridLines="0" zoomScaleNormal="100" workbookViewId="0">
      <selection activeCell="F19" sqref="F19"/>
    </sheetView>
  </sheetViews>
  <sheetFormatPr defaultRowHeight="14.4" x14ac:dyDescent="0.3"/>
  <cols>
    <col min="2" max="2" width="20.6640625" customWidth="1"/>
    <col min="3" max="3" width="18.6640625" customWidth="1"/>
    <col min="4" max="4" width="11.109375" customWidth="1"/>
    <col min="6" max="6" width="10.44140625" customWidth="1"/>
    <col min="8" max="8" width="20.21875" customWidth="1"/>
    <col min="9" max="9" width="26.44140625" customWidth="1"/>
    <col min="10" max="10" width="12.109375" customWidth="1"/>
    <col min="11" max="14" width="10.33203125" bestFit="1" customWidth="1"/>
  </cols>
  <sheetData>
    <row r="2" spans="2:14" ht="18" x14ac:dyDescent="0.35">
      <c r="B2" s="365" t="s">
        <v>209</v>
      </c>
      <c r="C2" s="365"/>
      <c r="D2" s="365"/>
      <c r="E2" s="365"/>
      <c r="F2" s="365"/>
      <c r="G2" s="365"/>
      <c r="H2" s="365"/>
      <c r="I2" s="365"/>
      <c r="J2" s="365"/>
      <c r="K2" s="365"/>
      <c r="L2" s="365"/>
      <c r="M2" s="365"/>
      <c r="N2" s="365"/>
    </row>
    <row r="3" spans="2:14" x14ac:dyDescent="0.3">
      <c r="B3" s="359" t="s">
        <v>210</v>
      </c>
      <c r="C3" s="359"/>
      <c r="D3" s="359"/>
      <c r="E3" s="359"/>
      <c r="F3" s="359"/>
      <c r="G3" s="359"/>
      <c r="H3" s="359"/>
      <c r="I3" s="359"/>
      <c r="J3" s="359"/>
      <c r="K3" s="359"/>
      <c r="L3" s="359"/>
      <c r="M3" s="359"/>
      <c r="N3" s="359"/>
    </row>
    <row r="4" spans="2:14" x14ac:dyDescent="0.3">
      <c r="B4" s="359" t="s">
        <v>285</v>
      </c>
      <c r="C4" s="359"/>
      <c r="D4" s="359"/>
      <c r="E4" s="359"/>
      <c r="F4" s="359"/>
      <c r="G4" s="359"/>
      <c r="H4" s="359"/>
      <c r="I4" s="359"/>
      <c r="J4" s="359"/>
      <c r="K4" s="359"/>
      <c r="L4" s="359"/>
      <c r="M4" s="359"/>
      <c r="N4" s="359"/>
    </row>
    <row r="6" spans="2:14" x14ac:dyDescent="0.3">
      <c r="B6" s="165" t="s">
        <v>211</v>
      </c>
      <c r="C6" s="153"/>
      <c r="D6" s="174"/>
      <c r="H6" s="165" t="s">
        <v>329</v>
      </c>
      <c r="I6" s="174"/>
      <c r="J6" s="174"/>
      <c r="K6" s="174"/>
      <c r="L6" s="174"/>
      <c r="M6" s="174"/>
      <c r="N6" s="344" t="s">
        <v>48</v>
      </c>
    </row>
    <row r="7" spans="2:14" x14ac:dyDescent="0.3">
      <c r="B7" s="222" t="s">
        <v>275</v>
      </c>
      <c r="C7" s="223"/>
      <c r="D7" s="224"/>
      <c r="H7" s="209" t="s">
        <v>220</v>
      </c>
      <c r="I7" s="209" t="s">
        <v>221</v>
      </c>
      <c r="J7" s="209" t="s">
        <v>222</v>
      </c>
      <c r="K7" s="209" t="s">
        <v>223</v>
      </c>
      <c r="L7" s="209" t="s">
        <v>224</v>
      </c>
      <c r="M7" s="209" t="s">
        <v>225</v>
      </c>
      <c r="N7" s="209" t="s">
        <v>226</v>
      </c>
    </row>
    <row r="8" spans="2:14" x14ac:dyDescent="0.3">
      <c r="B8" s="225" t="s">
        <v>229</v>
      </c>
      <c r="C8" s="95"/>
      <c r="D8" s="226"/>
      <c r="H8" s="6" t="s">
        <v>1</v>
      </c>
      <c r="I8" s="211">
        <f>Historical_Financials!C6</f>
        <v>70919.03</v>
      </c>
      <c r="J8" s="211">
        <f>Historical_Financials!C7</f>
        <v>67931.94</v>
      </c>
      <c r="K8" s="211">
        <f>Historical_Financials!C8</f>
        <v>75323.34</v>
      </c>
      <c r="L8" s="211">
        <f>Forecast_Model!D31</f>
        <v>80561</v>
      </c>
      <c r="M8" s="211">
        <f>Forecast_Model!E31</f>
        <v>86214</v>
      </c>
      <c r="N8" s="211">
        <f>Forecast_Model!F31</f>
        <v>92320</v>
      </c>
    </row>
    <row r="9" spans="2:14" x14ac:dyDescent="0.3">
      <c r="B9" s="227" t="s">
        <v>212</v>
      </c>
      <c r="C9" s="228"/>
      <c r="D9" s="229"/>
      <c r="H9" s="6" t="s">
        <v>8</v>
      </c>
      <c r="I9" s="1">
        <f>Historical_Financials!P6</f>
        <v>0.36244517162741791</v>
      </c>
      <c r="J9" s="1">
        <f>Historical_Financials!P7</f>
        <v>0.37077595605248426</v>
      </c>
      <c r="K9" s="1">
        <f>Historical_Financials!P8</f>
        <v>0.34304705553418108</v>
      </c>
      <c r="L9" s="1">
        <f>Forecast_Model!D25</f>
        <v>0.33763880785988259</v>
      </c>
      <c r="M9" s="1">
        <f>Forecast_Model!E25</f>
        <v>0.33505069710255875</v>
      </c>
      <c r="N9" s="1">
        <f>Forecast_Model!F25</f>
        <v>0.33263500034662047</v>
      </c>
    </row>
    <row r="10" spans="2:14" x14ac:dyDescent="0.3">
      <c r="B10" s="222" t="s">
        <v>213</v>
      </c>
      <c r="C10" s="223"/>
      <c r="D10" s="224"/>
      <c r="H10" s="6" t="s">
        <v>271</v>
      </c>
      <c r="I10" s="211">
        <f>Historical_Financials!H6</f>
        <v>19191.66</v>
      </c>
      <c r="J10" s="211">
        <f>Historical_Financials!H7</f>
        <v>20458.78</v>
      </c>
      <c r="K10" s="211">
        <f>Historical_Financials!H8</f>
        <v>19600</v>
      </c>
      <c r="L10" s="211">
        <f>Forecast_Model!D33</f>
        <v>20400.39</v>
      </c>
      <c r="M10" s="211">
        <f>Forecast_Model!E33</f>
        <v>21664.545599999998</v>
      </c>
      <c r="N10" s="211">
        <f>Forecast_Model!F33</f>
        <v>23031.647423999999</v>
      </c>
    </row>
    <row r="11" spans="2:14" x14ac:dyDescent="0.3">
      <c r="B11" s="225" t="s">
        <v>246</v>
      </c>
      <c r="C11" s="95"/>
      <c r="D11" s="226"/>
      <c r="H11" s="6" t="s">
        <v>7</v>
      </c>
      <c r="I11" s="211">
        <f>Historical_Financials!M6</f>
        <v>17541.253499999999</v>
      </c>
      <c r="J11" s="211">
        <f>Historical_Financials!M7</f>
        <v>17012.100499999997</v>
      </c>
      <c r="K11" s="211">
        <f>Historical_Financials!M8</f>
        <v>17259.740500000004</v>
      </c>
      <c r="L11" s="211">
        <f>Forecast_Model!D37</f>
        <v>19651</v>
      </c>
      <c r="M11" s="211">
        <f>Forecast_Model!E37</f>
        <v>20862</v>
      </c>
      <c r="N11" s="211">
        <f>Forecast_Model!F37</f>
        <v>22171</v>
      </c>
    </row>
    <row r="12" spans="2:14" x14ac:dyDescent="0.3">
      <c r="B12" s="227" t="s">
        <v>214</v>
      </c>
      <c r="C12" s="228"/>
      <c r="D12" s="229"/>
      <c r="H12" s="6" t="s">
        <v>227</v>
      </c>
      <c r="I12" s="210" t="s">
        <v>191</v>
      </c>
      <c r="J12" s="210" t="s">
        <v>191</v>
      </c>
      <c r="K12" s="212">
        <f>Relative_Valuation!D17</f>
        <v>20.130255102040817</v>
      </c>
      <c r="L12" s="235">
        <f>Relative_Valuation!D5/Forecast_Model!D33</f>
        <v>19.340463589176483</v>
      </c>
      <c r="M12" s="235">
        <f>Relative_Valuation!D5/Forecast_Model!E33</f>
        <v>18.21192132458112</v>
      </c>
      <c r="N12" s="235">
        <f>Relative_Valuation!D5/Forecast_Model!F33</f>
        <v>17.13090656245711</v>
      </c>
    </row>
    <row r="13" spans="2:14" x14ac:dyDescent="0.3">
      <c r="B13" s="222" t="s">
        <v>215</v>
      </c>
      <c r="C13" s="223"/>
      <c r="D13" s="224"/>
      <c r="H13" s="6" t="s">
        <v>228</v>
      </c>
      <c r="I13" s="210" t="s">
        <v>191</v>
      </c>
      <c r="J13" s="210" t="s">
        <v>191</v>
      </c>
      <c r="K13" s="212">
        <f>Relative_Valuation!E17</f>
        <v>15.117659238102977</v>
      </c>
      <c r="L13" s="235">
        <f>Relative_Valuation!C17/Forecast_Model!D32</f>
        <v>14.361196035958136</v>
      </c>
      <c r="M13" s="235">
        <f>Relative_Valuation!C17/Forecast_Model!E32</f>
        <v>13.52320078201871</v>
      </c>
      <c r="N13" s="235">
        <f>Relative_Valuation!C17/Forecast_Model!F32</f>
        <v>12.720496914810708</v>
      </c>
    </row>
    <row r="14" spans="2:14" x14ac:dyDescent="0.3">
      <c r="B14" s="225" t="s">
        <v>284</v>
      </c>
      <c r="C14" s="95"/>
      <c r="D14" s="226"/>
      <c r="H14" s="232" t="s">
        <v>231</v>
      </c>
      <c r="I14" s="232"/>
      <c r="J14" s="232"/>
      <c r="K14" s="232"/>
      <c r="L14" s="232"/>
      <c r="M14" s="232"/>
    </row>
    <row r="15" spans="2:14" x14ac:dyDescent="0.3">
      <c r="B15" s="227" t="s">
        <v>216</v>
      </c>
      <c r="C15" s="228"/>
      <c r="D15" s="229"/>
      <c r="H15" s="232" t="s">
        <v>230</v>
      </c>
      <c r="I15" s="232"/>
      <c r="J15" s="232"/>
      <c r="K15" s="232"/>
      <c r="L15" s="232"/>
      <c r="M15" s="232"/>
    </row>
    <row r="16" spans="2:14" x14ac:dyDescent="0.3">
      <c r="B16" s="222" t="s">
        <v>217</v>
      </c>
      <c r="C16" s="223"/>
      <c r="D16" s="224"/>
    </row>
    <row r="17" spans="2:14" x14ac:dyDescent="0.3">
      <c r="B17" s="225" t="s">
        <v>218</v>
      </c>
      <c r="C17" s="95"/>
      <c r="D17" s="226"/>
    </row>
    <row r="18" spans="2:14" x14ac:dyDescent="0.3">
      <c r="B18" s="227" t="s">
        <v>219</v>
      </c>
      <c r="C18" s="228"/>
      <c r="D18" s="229"/>
    </row>
    <row r="20" spans="2:14" x14ac:dyDescent="0.3">
      <c r="B20" s="165" t="s">
        <v>232</v>
      </c>
      <c r="C20" s="165"/>
      <c r="D20" s="165"/>
      <c r="H20" s="165" t="s">
        <v>245</v>
      </c>
      <c r="I20" s="165"/>
      <c r="J20" s="174"/>
    </row>
    <row r="21" spans="2:14" x14ac:dyDescent="0.3">
      <c r="B21" s="209" t="s">
        <v>233</v>
      </c>
      <c r="C21" s="209" t="s">
        <v>234</v>
      </c>
      <c r="D21" s="209" t="s">
        <v>235</v>
      </c>
      <c r="H21" s="209" t="s">
        <v>247</v>
      </c>
      <c r="I21" s="209" t="s">
        <v>248</v>
      </c>
      <c r="J21" s="209" t="s">
        <v>249</v>
      </c>
    </row>
    <row r="22" spans="2:14" x14ac:dyDescent="0.3">
      <c r="B22" s="220" t="s">
        <v>236</v>
      </c>
      <c r="C22" s="221">
        <f>'DCF (Formatted) '!H20</f>
        <v>254.73417935119215</v>
      </c>
      <c r="D22" s="213">
        <f>'DCF (Formatted) '!J33</f>
        <v>-0.18091903745597379</v>
      </c>
      <c r="H22" s="215" t="s">
        <v>173</v>
      </c>
      <c r="I22" s="215" t="s">
        <v>250</v>
      </c>
      <c r="J22" s="218" t="s">
        <v>279</v>
      </c>
    </row>
    <row r="23" spans="2:14" x14ac:dyDescent="0.3">
      <c r="B23" s="6" t="s">
        <v>238</v>
      </c>
      <c r="C23" s="17">
        <f>Relative_Valuation!O18</f>
        <v>374.55234159991784</v>
      </c>
      <c r="D23" s="214" t="s">
        <v>241</v>
      </c>
      <c r="H23" s="216" t="s">
        <v>174</v>
      </c>
      <c r="I23" s="216" t="s">
        <v>251</v>
      </c>
      <c r="J23" s="250">
        <f>'DCF (Formatted) '!H20</f>
        <v>254.73417935119215</v>
      </c>
    </row>
    <row r="24" spans="2:14" x14ac:dyDescent="0.3">
      <c r="B24" s="6" t="s">
        <v>237</v>
      </c>
      <c r="C24" s="17">
        <f>Relative_Valuation!O19</f>
        <v>1120.1697584847188</v>
      </c>
      <c r="D24" s="214" t="s">
        <v>242</v>
      </c>
      <c r="H24" s="217" t="s">
        <v>175</v>
      </c>
      <c r="I24" s="217" t="s">
        <v>252</v>
      </c>
      <c r="J24" s="219" t="s">
        <v>253</v>
      </c>
    </row>
    <row r="25" spans="2:14" x14ac:dyDescent="0.3">
      <c r="B25" s="6" t="s">
        <v>166</v>
      </c>
      <c r="C25" s="231">
        <f>'DCF (Formatted) '!J32</f>
        <v>311</v>
      </c>
      <c r="D25" s="210" t="s">
        <v>191</v>
      </c>
      <c r="H25" s="232" t="s">
        <v>254</v>
      </c>
      <c r="I25" s="232"/>
      <c r="J25" s="232"/>
    </row>
    <row r="26" spans="2:14" x14ac:dyDescent="0.3">
      <c r="B26" s="232" t="s">
        <v>243</v>
      </c>
      <c r="C26" s="232"/>
      <c r="D26" s="232"/>
      <c r="H26" s="232" t="s">
        <v>255</v>
      </c>
      <c r="I26" s="232"/>
      <c r="J26" s="232"/>
    </row>
    <row r="27" spans="2:14" x14ac:dyDescent="0.3">
      <c r="B27" s="232" t="s">
        <v>244</v>
      </c>
      <c r="C27" s="232"/>
      <c r="D27" s="232"/>
    </row>
    <row r="29" spans="2:14" x14ac:dyDescent="0.3">
      <c r="B29" s="353" t="s">
        <v>256</v>
      </c>
      <c r="C29" s="353"/>
      <c r="D29" s="353"/>
      <c r="E29" s="353"/>
      <c r="F29" s="353"/>
      <c r="G29" s="353"/>
      <c r="H29" s="353"/>
      <c r="I29" s="353"/>
      <c r="J29" s="353"/>
      <c r="K29" s="233"/>
      <c r="L29" s="233"/>
      <c r="M29" s="233"/>
      <c r="N29" s="233"/>
    </row>
    <row r="30" spans="2:14" x14ac:dyDescent="0.3">
      <c r="B30" s="209" t="s">
        <v>257</v>
      </c>
      <c r="C30" s="366" t="s">
        <v>258</v>
      </c>
      <c r="D30" s="366"/>
      <c r="E30" s="366"/>
      <c r="F30" s="366"/>
      <c r="G30" s="366"/>
      <c r="H30" s="366"/>
      <c r="I30" s="366"/>
      <c r="J30" s="366"/>
    </row>
    <row r="31" spans="2:14" x14ac:dyDescent="0.3">
      <c r="B31" s="6" t="s">
        <v>259</v>
      </c>
      <c r="C31" s="362" t="s">
        <v>283</v>
      </c>
      <c r="D31" s="363"/>
      <c r="E31" s="363"/>
      <c r="F31" s="363"/>
      <c r="G31" s="363"/>
      <c r="H31" s="363"/>
      <c r="I31" s="363"/>
      <c r="J31" s="364"/>
    </row>
    <row r="32" spans="2:14" x14ac:dyDescent="0.3">
      <c r="B32" s="6" t="s">
        <v>260</v>
      </c>
      <c r="C32" s="362" t="s">
        <v>261</v>
      </c>
      <c r="D32" s="363"/>
      <c r="E32" s="363"/>
      <c r="F32" s="363"/>
      <c r="G32" s="363"/>
      <c r="H32" s="363"/>
      <c r="I32" s="363"/>
      <c r="J32" s="364"/>
    </row>
    <row r="33" spans="2:10" x14ac:dyDescent="0.3">
      <c r="B33" s="6" t="s">
        <v>262</v>
      </c>
      <c r="C33" s="362" t="s">
        <v>263</v>
      </c>
      <c r="D33" s="363"/>
      <c r="E33" s="363"/>
      <c r="F33" s="363"/>
      <c r="G33" s="363"/>
      <c r="H33" s="363"/>
      <c r="I33" s="363"/>
      <c r="J33" s="364"/>
    </row>
    <row r="35" spans="2:10" x14ac:dyDescent="0.3">
      <c r="B35" s="353" t="s">
        <v>264</v>
      </c>
      <c r="C35" s="353"/>
      <c r="D35" s="353"/>
      <c r="E35" s="353"/>
      <c r="F35" s="353"/>
      <c r="G35" s="353"/>
      <c r="H35" s="353"/>
      <c r="I35" s="353"/>
      <c r="J35" s="353"/>
    </row>
    <row r="36" spans="2:10" ht="15.6" x14ac:dyDescent="0.3">
      <c r="B36" s="47" t="s">
        <v>269</v>
      </c>
      <c r="C36" s="234" t="s">
        <v>270</v>
      </c>
    </row>
    <row r="37" spans="2:10" x14ac:dyDescent="0.3">
      <c r="B37" s="239" t="s">
        <v>265</v>
      </c>
      <c r="C37" s="251">
        <f>J23</f>
        <v>254.73417935119215</v>
      </c>
      <c r="D37" s="239" t="s">
        <v>266</v>
      </c>
      <c r="E37" s="240">
        <f>C25</f>
        <v>311</v>
      </c>
      <c r="F37" s="239" t="s">
        <v>267</v>
      </c>
      <c r="G37" s="241">
        <f>D22</f>
        <v>-0.18091903745597379</v>
      </c>
    </row>
    <row r="38" spans="2:10" x14ac:dyDescent="0.3">
      <c r="B38" s="238" t="s">
        <v>268</v>
      </c>
      <c r="C38" s="238"/>
      <c r="D38" s="238"/>
      <c r="E38" s="238"/>
      <c r="F38" s="238"/>
      <c r="G38" s="238"/>
    </row>
    <row r="39" spans="2:10" x14ac:dyDescent="0.3">
      <c r="B39" s="232" t="s">
        <v>272</v>
      </c>
      <c r="C39" s="232"/>
      <c r="D39" s="232"/>
      <c r="E39" s="232"/>
      <c r="F39" s="232"/>
      <c r="G39" s="232"/>
    </row>
  </sheetData>
  <mergeCells count="9">
    <mergeCell ref="B35:J35"/>
    <mergeCell ref="C31:J31"/>
    <mergeCell ref="C32:J32"/>
    <mergeCell ref="C33:J33"/>
    <mergeCell ref="B2:N2"/>
    <mergeCell ref="B3:N3"/>
    <mergeCell ref="B4:N4"/>
    <mergeCell ref="C30:J30"/>
    <mergeCell ref="B29:J29"/>
  </mergeCells>
  <pageMargins left="0.7" right="0.7" top="0.75" bottom="0.75" header="0.3" footer="0.3"/>
  <pageSetup scale="4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Historical_Financials</vt:lpstr>
      <vt:lpstr>Segment_Analysis</vt:lpstr>
      <vt:lpstr>Assumptions</vt:lpstr>
      <vt:lpstr>Forecast_Model</vt:lpstr>
      <vt:lpstr>DCF</vt:lpstr>
      <vt:lpstr>DCF (Formatted) </vt:lpstr>
      <vt:lpstr>Relative_Valuation</vt:lpstr>
      <vt:lpstr>Summary</vt:lpstr>
      <vt:lpstr>'DCF (Formatted) '!Print_Area</vt:lpstr>
      <vt:lpstr>Relative_Valuation!Print_Area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Prathamesh Rathod</dc:creator>
  <cp:lastModifiedBy>Prathamesh Rathod</cp:lastModifiedBy>
  <cp:lastPrinted>2026-05-10T14:35:56Z</cp:lastPrinted>
  <dcterms:created xsi:type="dcterms:W3CDTF">2026-04-24T08:32:09Z</dcterms:created>
  <dcterms:modified xsi:type="dcterms:W3CDTF">2026-05-11T06:48:35Z</dcterms:modified>
</cp:coreProperties>
</file>